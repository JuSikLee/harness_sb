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일별매출" sheetId="1" state="visible" r:id="rId3"/>
    <sheet name="지역별 요약" sheetId="2" state="visible" r:id="rId4"/>
    <sheet name="제품별 요약" sheetId="3" state="visible" r:id="rId5"/>
    <sheet name="월간 KPI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<sst xmlns="http://schemas.openxmlformats.org/spreadsheetml/2006/main" count="570" uniqueCount="31">
  <si>
    <t xml:space="preserve">날짜</t>
  </si>
  <si>
    <t xml:space="preserve">지역</t>
  </si>
  <si>
    <t xml:space="preserve">제품</t>
  </si>
  <si>
    <t xml:space="preserve">채널</t>
  </si>
  <si>
    <t xml:space="preserve">수량</t>
  </si>
  <si>
    <r>
      <rPr>
        <b val="true"/>
        <sz val="11"/>
        <color rgb="FFFFFFFF"/>
        <rFont val="DejaVu Sans"/>
        <family val="2"/>
      </rPr>
      <t xml:space="preserve">단가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원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</si>
  <si>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매출액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원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</si>
  <si>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대구</t>
  </si>
  <si>
    <t xml:space="preserve">베이직</t>
  </si>
  <si>
    <t xml:space="preserve">온라인</t>
  </si>
  <si>
    <t xml:space="preserve">부산</t>
  </si>
  <si>
    <t xml:space="preserve">서울</t>
  </si>
  <si>
    <t xml:space="preserve">직영</t>
  </si>
  <si>
    <t xml:space="preserve">프로</t>
  </si>
  <si>
    <t xml:space="preserve">인천</t>
  </si>
  <si>
    <t xml:space="preserve">대리점</t>
  </si>
  <si>
    <t xml:space="preserve">광주</t>
  </si>
  <si>
    <t xml:space="preserve">프리미엄</t>
  </si>
  <si>
    <t xml:space="preserve">월 합계</t>
  </si>
  <si>
    <t xml:space="preserve">거래건수</t>
  </si>
  <si>
    <t xml:space="preserve">총수량</t>
  </si>
  <si>
    <r>
      <rPr>
        <b val="true"/>
        <sz val="11"/>
        <color rgb="FFFFFFFF"/>
        <rFont val="DejaVu Sans"/>
        <family val="2"/>
      </rPr>
      <t xml:space="preserve">총매출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원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</si>
  <si>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비중</t>
    </r>
    <r>
      <rPr>
        <b val="true"/>
        <sz val="11"/>
        <color rgb="FFFFFFFF"/>
        <rFont val="맑은 고딕"/>
        <family val="0"/>
        <charset val="1"/>
      </rPr>
      <t xml:space="preserve">(%)</t>
    </r>
  </si>
  <si>
    <t xml:space="preserve">합계</t>
  </si>
  <si>
    <r>
      <rPr>
        <b val="true"/>
        <sz val="14"/>
        <rFont val="맑은 고딕"/>
        <family val="0"/>
        <charset val="1"/>
      </rPr>
      <t xml:space="preserve">2026</t>
    </r>
    <r>
      <rPr>
        <b val="true"/>
        <sz val="14"/>
        <rFont val="DejaVu Sans"/>
        <family val="2"/>
      </rPr>
      <t xml:space="preserve">년 </t>
    </r>
    <r>
      <rPr>
        <b val="true"/>
        <sz val="14"/>
        <rFont val="맑은 고딕"/>
        <family val="0"/>
        <charset val="1"/>
      </rPr>
      <t xml:space="preserve">1</t>
    </r>
    <r>
      <rPr>
        <b val="true"/>
        <sz val="14"/>
        <rFont val="DejaVu Sans"/>
        <family val="2"/>
      </rPr>
      <t xml:space="preserve">월 매출 핵심 지표</t>
    </r>
  </si>
  <si>
    <r>
      <rPr>
        <b val="true"/>
        <sz val="11"/>
        <rFont val="DejaVu Sans"/>
        <family val="2"/>
      </rPr>
      <t xml:space="preserve">총 매출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원</t>
    </r>
    <r>
      <rPr>
        <b val="true"/>
        <sz val="11"/>
        <rFont val="맑은 고딕"/>
        <family val="0"/>
        <charset val="1"/>
      </rPr>
      <t xml:space="preserve">)</t>
    </r>
  </si>
  <si>
    <r>
      <rPr>
        <b val="true"/>
        <sz val="11"/>
        <rFont val="DejaVu Sans"/>
        <family val="2"/>
      </rPr>
      <t xml:space="preserve">총 수량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개</t>
    </r>
    <r>
      <rPr>
        <b val="true"/>
        <sz val="11"/>
        <rFont val="맑은 고딕"/>
        <family val="0"/>
        <charset val="1"/>
      </rPr>
      <t xml:space="preserve">)</t>
    </r>
  </si>
  <si>
    <r>
      <rPr>
        <b val="true"/>
        <sz val="11"/>
        <rFont val="DejaVu Sans"/>
        <family val="2"/>
      </rPr>
      <t xml:space="preserve">평균 거래액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원</t>
    </r>
    <r>
      <rPr>
        <b val="true"/>
        <sz val="11"/>
        <rFont val="맑은 고딕"/>
        <family val="0"/>
        <charset val="1"/>
      </rPr>
      <t xml:space="preserve">)</t>
    </r>
  </si>
  <si>
    <r>
      <rPr>
        <b val="true"/>
        <sz val="11"/>
        <rFont val="DejaVu Sans"/>
        <family val="2"/>
      </rPr>
      <t xml:space="preserve">일평균 매출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원</t>
    </r>
    <r>
      <rPr>
        <b val="true"/>
        <sz val="11"/>
        <rFont val="맑은 고딕"/>
        <family val="0"/>
        <charset val="1"/>
      </rPr>
      <t xml:space="preserve">)</t>
    </r>
  </si>
  <si>
    <r>
      <rPr>
        <b val="true"/>
        <sz val="11"/>
        <rFont val="DejaVu Sans"/>
        <family val="2"/>
      </rPr>
      <t xml:space="preserve">최대 거래액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원</t>
    </r>
    <r>
      <rPr>
        <b val="true"/>
        <sz val="11"/>
        <rFont val="맑은 고딕"/>
        <family val="0"/>
        <charset val="1"/>
      </rPr>
      <t xml:space="preserve">)</t>
    </r>
  </si>
  <si>
    <r>
      <rPr>
        <b val="true"/>
        <sz val="11"/>
        <rFont val="DejaVu Sans"/>
        <family val="2"/>
      </rPr>
      <t xml:space="preserve">최소 거래액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원</t>
    </r>
    <r>
      <rPr>
        <b val="true"/>
        <sz val="11"/>
        <rFont val="맑은 고딕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</si>
</sst>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"/>
    <numFmt numFmtId="167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DejaVu Sans"/>
      <family val="2"/>
    </font>
    <font>
      <b val="true"/>
      <sz val="11"/>
      <color rgb="FFFFFFFF"/>
      <name val="맑은 고딕"/>
      <family val="0"/>
      <charset val="1"/>
    </font>
    <font>
      <sz val="10"/>
      <name val="맑은 고딕"/>
      <family val="0"/>
      <charset val="1"/>
    </font>
    <font>
      <sz val="10"/>
      <name val="DejaVu Sans"/>
      <family val="2"/>
    </font>
    <font>
      <b val="true"/>
      <sz val="11"/>
      <name val="DejaVu Sans"/>
      <family val="2"/>
    </font>
    <font>
      <b val="true"/>
      <sz val="11"/>
      <name val="맑은 고딕"/>
      <family val="0"/>
      <charset val="1"/>
    </font>
    <font>
      <b val="true"/>
      <sz val="14"/>
      <name val="맑은 고딕"/>
      <family val="0"/>
      <charset val="1"/>
    </font>
    <font>
      <b val="true"/>
      <sz val="14"/>
      <name val="DejaVu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46023</v>
      </c>
      <c r="B2" s="3" t="s">
        <v>7</v>
      </c>
      <c r="C2" s="3" t="s">
        <v>8</v>
      </c>
      <c r="D2" s="3" t="s">
        <v>9</v>
      </c>
      <c r="E2" s="4" t="n">
        <v>20</v>
      </c>
      <c r="F2" s="4" t="n">
        <v>50000</v>
      </c>
      <c r="G2" s="4" t="n">
        <f aca="false">E2*F2</f>
        <v>1000000</v>
      </c>
    </row>
    <row r="3" customFormat="false" ht="15" hidden="false" customHeight="false" outlineLevel="0" collapsed="false">
      <c r="A3" s="2" t="n">
        <v>46023</v>
      </c>
      <c r="B3" s="3" t="s">
        <v>10</v>
      </c>
      <c r="C3" s="3" t="s">
        <v>8</v>
      </c>
      <c r="D3" s="3" t="s">
        <v>9</v>
      </c>
      <c r="E3" s="4" t="n">
        <v>21</v>
      </c>
      <c r="F3" s="4" t="n">
        <v>50000</v>
      </c>
      <c r="G3" s="4" t="n">
        <f aca="false">E3*F3</f>
        <v>1050000</v>
      </c>
    </row>
    <row r="4" customFormat="false" ht="15" hidden="false" customHeight="false" outlineLevel="0" collapsed="false">
      <c r="A4" s="2" t="n">
        <v>46023</v>
      </c>
      <c r="B4" s="3" t="s">
        <v>11</v>
      </c>
      <c r="C4" s="3" t="s">
        <v>8</v>
      </c>
      <c r="D4" s="3" t="s">
        <v>12</v>
      </c>
      <c r="E4" s="4" t="n">
        <v>42</v>
      </c>
      <c r="F4" s="4" t="n">
        <v>50000</v>
      </c>
      <c r="G4" s="4" t="n">
        <f aca="false">E4*F4</f>
        <v>2100000</v>
      </c>
    </row>
    <row r="5" customFormat="false" ht="15" hidden="false" customHeight="false" outlineLevel="0" collapsed="false">
      <c r="A5" s="2" t="n">
        <v>46023</v>
      </c>
      <c r="B5" s="3" t="s">
        <v>11</v>
      </c>
      <c r="C5" s="3" t="s">
        <v>8</v>
      </c>
      <c r="D5" s="3" t="s">
        <v>12</v>
      </c>
      <c r="E5" s="4" t="n">
        <v>39</v>
      </c>
      <c r="F5" s="4" t="n">
        <v>50000</v>
      </c>
      <c r="G5" s="4" t="n">
        <f aca="false">E5*F5</f>
        <v>1950000</v>
      </c>
    </row>
    <row r="6" customFormat="false" ht="15" hidden="false" customHeight="false" outlineLevel="0" collapsed="false">
      <c r="A6" s="2" t="n">
        <v>46023</v>
      </c>
      <c r="B6" s="3" t="s">
        <v>11</v>
      </c>
      <c r="C6" s="3" t="s">
        <v>13</v>
      </c>
      <c r="D6" s="3" t="s">
        <v>9</v>
      </c>
      <c r="E6" s="4" t="n">
        <v>7</v>
      </c>
      <c r="F6" s="4" t="n">
        <v>150000</v>
      </c>
      <c r="G6" s="4" t="n">
        <f aca="false">E6*F6</f>
        <v>1050000</v>
      </c>
    </row>
    <row r="7" customFormat="false" ht="15" hidden="false" customHeight="false" outlineLevel="0" collapsed="false">
      <c r="A7" s="2" t="n">
        <v>46023</v>
      </c>
      <c r="B7" s="3" t="s">
        <v>11</v>
      </c>
      <c r="C7" s="3" t="s">
        <v>13</v>
      </c>
      <c r="D7" s="3" t="s">
        <v>12</v>
      </c>
      <c r="E7" s="4" t="n">
        <v>7</v>
      </c>
      <c r="F7" s="4" t="n">
        <v>150000</v>
      </c>
      <c r="G7" s="4" t="n">
        <f aca="false">E7*F7</f>
        <v>1050000</v>
      </c>
    </row>
    <row r="8" customFormat="false" ht="15" hidden="false" customHeight="false" outlineLevel="0" collapsed="false">
      <c r="A8" s="2" t="n">
        <v>46023</v>
      </c>
      <c r="B8" s="3" t="s">
        <v>11</v>
      </c>
      <c r="C8" s="3" t="s">
        <v>13</v>
      </c>
      <c r="D8" s="3" t="s">
        <v>12</v>
      </c>
      <c r="E8" s="4" t="n">
        <v>13</v>
      </c>
      <c r="F8" s="4" t="n">
        <v>150000</v>
      </c>
      <c r="G8" s="4" t="n">
        <f aca="false">E8*F8</f>
        <v>1950000</v>
      </c>
    </row>
    <row r="9" customFormat="false" ht="15" hidden="false" customHeight="false" outlineLevel="0" collapsed="false">
      <c r="A9" s="2" t="n">
        <v>46023</v>
      </c>
      <c r="B9" s="3" t="s">
        <v>14</v>
      </c>
      <c r="C9" s="3" t="s">
        <v>8</v>
      </c>
      <c r="D9" s="3" t="s">
        <v>9</v>
      </c>
      <c r="E9" s="4" t="n">
        <v>10</v>
      </c>
      <c r="F9" s="4" t="n">
        <v>50000</v>
      </c>
      <c r="G9" s="4" t="n">
        <f aca="false">E9*F9</f>
        <v>500000</v>
      </c>
    </row>
    <row r="10" customFormat="false" ht="15" hidden="false" customHeight="false" outlineLevel="0" collapsed="false">
      <c r="A10" s="2" t="n">
        <v>46023</v>
      </c>
      <c r="B10" s="3" t="s">
        <v>14</v>
      </c>
      <c r="C10" s="3" t="s">
        <v>8</v>
      </c>
      <c r="D10" s="3" t="s">
        <v>15</v>
      </c>
      <c r="E10" s="4" t="n">
        <v>24</v>
      </c>
      <c r="F10" s="4" t="n">
        <v>50000</v>
      </c>
      <c r="G10" s="4" t="n">
        <f aca="false">E10*F10</f>
        <v>1200000</v>
      </c>
    </row>
    <row r="11" customFormat="false" ht="15" hidden="false" customHeight="false" outlineLevel="0" collapsed="false">
      <c r="A11" s="2" t="n">
        <v>46023</v>
      </c>
      <c r="B11" s="3" t="s">
        <v>14</v>
      </c>
      <c r="C11" s="3" t="s">
        <v>13</v>
      </c>
      <c r="D11" s="3" t="s">
        <v>12</v>
      </c>
      <c r="E11" s="4" t="n">
        <v>9</v>
      </c>
      <c r="F11" s="4" t="n">
        <v>150000</v>
      </c>
      <c r="G11" s="4" t="n">
        <f aca="false">E11*F11</f>
        <v>1350000</v>
      </c>
    </row>
    <row r="12" customFormat="false" ht="15" hidden="false" customHeight="false" outlineLevel="0" collapsed="false">
      <c r="A12" s="2" t="n">
        <v>46024</v>
      </c>
      <c r="B12" s="3" t="s">
        <v>16</v>
      </c>
      <c r="C12" s="3" t="s">
        <v>8</v>
      </c>
      <c r="D12" s="3" t="s">
        <v>15</v>
      </c>
      <c r="E12" s="4" t="n">
        <v>28</v>
      </c>
      <c r="F12" s="4" t="n">
        <v>50000</v>
      </c>
      <c r="G12" s="4" t="n">
        <f aca="false">E12*F12</f>
        <v>1400000</v>
      </c>
    </row>
    <row r="13" customFormat="false" ht="15" hidden="false" customHeight="false" outlineLevel="0" collapsed="false">
      <c r="A13" s="2" t="n">
        <v>46024</v>
      </c>
      <c r="B13" s="3" t="s">
        <v>7</v>
      </c>
      <c r="C13" s="3" t="s">
        <v>8</v>
      </c>
      <c r="D13" s="3" t="s">
        <v>12</v>
      </c>
      <c r="E13" s="4" t="n">
        <v>46</v>
      </c>
      <c r="F13" s="4" t="n">
        <v>50000</v>
      </c>
      <c r="G13" s="4" t="n">
        <f aca="false">E13*F13</f>
        <v>2300000</v>
      </c>
    </row>
    <row r="14" customFormat="false" ht="15" hidden="false" customHeight="false" outlineLevel="0" collapsed="false">
      <c r="A14" s="2" t="n">
        <v>46024</v>
      </c>
      <c r="B14" s="3" t="s">
        <v>7</v>
      </c>
      <c r="C14" s="3" t="s">
        <v>8</v>
      </c>
      <c r="D14" s="3" t="s">
        <v>12</v>
      </c>
      <c r="E14" s="4" t="n">
        <v>31</v>
      </c>
      <c r="F14" s="4" t="n">
        <v>50000</v>
      </c>
      <c r="G14" s="4" t="n">
        <f aca="false">E14*F14</f>
        <v>1550000</v>
      </c>
    </row>
    <row r="15" customFormat="false" ht="15" hidden="false" customHeight="false" outlineLevel="0" collapsed="false">
      <c r="A15" s="2" t="n">
        <v>46024</v>
      </c>
      <c r="B15" s="3" t="s">
        <v>10</v>
      </c>
      <c r="C15" s="3" t="s">
        <v>8</v>
      </c>
      <c r="D15" s="3" t="s">
        <v>9</v>
      </c>
      <c r="E15" s="4" t="n">
        <v>41</v>
      </c>
      <c r="F15" s="4" t="n">
        <v>50000</v>
      </c>
      <c r="G15" s="4" t="n">
        <f aca="false">E15*F15</f>
        <v>2050000</v>
      </c>
    </row>
    <row r="16" customFormat="false" ht="15" hidden="false" customHeight="false" outlineLevel="0" collapsed="false">
      <c r="A16" s="2" t="n">
        <v>46024</v>
      </c>
      <c r="B16" s="3" t="s">
        <v>10</v>
      </c>
      <c r="C16" s="3" t="s">
        <v>13</v>
      </c>
      <c r="D16" s="3" t="s">
        <v>9</v>
      </c>
      <c r="E16" s="4" t="n">
        <v>6</v>
      </c>
      <c r="F16" s="4" t="n">
        <v>150000</v>
      </c>
      <c r="G16" s="4" t="n">
        <f aca="false">E16*F16</f>
        <v>900000</v>
      </c>
    </row>
    <row r="17" customFormat="false" ht="15" hidden="false" customHeight="false" outlineLevel="0" collapsed="false">
      <c r="A17" s="2" t="n">
        <v>46024</v>
      </c>
      <c r="B17" s="3" t="s">
        <v>10</v>
      </c>
      <c r="C17" s="3" t="s">
        <v>17</v>
      </c>
      <c r="D17" s="3" t="s">
        <v>12</v>
      </c>
      <c r="E17" s="4" t="n">
        <v>4</v>
      </c>
      <c r="F17" s="4" t="n">
        <v>300000</v>
      </c>
      <c r="G17" s="4" t="n">
        <f aca="false">E17*F17</f>
        <v>1200000</v>
      </c>
    </row>
    <row r="18" customFormat="false" ht="15" hidden="false" customHeight="false" outlineLevel="0" collapsed="false">
      <c r="A18" s="2" t="n">
        <v>46024</v>
      </c>
      <c r="B18" s="3" t="s">
        <v>14</v>
      </c>
      <c r="C18" s="3" t="s">
        <v>13</v>
      </c>
      <c r="D18" s="3" t="s">
        <v>15</v>
      </c>
      <c r="E18" s="4" t="n">
        <v>2</v>
      </c>
      <c r="F18" s="4" t="n">
        <v>150000</v>
      </c>
      <c r="G18" s="4" t="n">
        <f aca="false">E18*F18</f>
        <v>300000</v>
      </c>
    </row>
    <row r="19" customFormat="false" ht="15" hidden="false" customHeight="false" outlineLevel="0" collapsed="false">
      <c r="A19" s="2" t="n">
        <v>46024</v>
      </c>
      <c r="B19" s="3" t="s">
        <v>14</v>
      </c>
      <c r="C19" s="3" t="s">
        <v>13</v>
      </c>
      <c r="D19" s="3" t="s">
        <v>12</v>
      </c>
      <c r="E19" s="4" t="n">
        <v>2</v>
      </c>
      <c r="F19" s="4" t="n">
        <v>150000</v>
      </c>
      <c r="G19" s="4" t="n">
        <f aca="false">E19*F19</f>
        <v>300000</v>
      </c>
    </row>
    <row r="20" customFormat="false" ht="15" hidden="false" customHeight="false" outlineLevel="0" collapsed="false">
      <c r="A20" s="2" t="n">
        <v>46024</v>
      </c>
      <c r="B20" s="3" t="s">
        <v>14</v>
      </c>
      <c r="C20" s="3" t="s">
        <v>13</v>
      </c>
      <c r="D20" s="3" t="s">
        <v>12</v>
      </c>
      <c r="E20" s="4" t="n">
        <v>4</v>
      </c>
      <c r="F20" s="4" t="n">
        <v>150000</v>
      </c>
      <c r="G20" s="4" t="n">
        <f aca="false">E20*F20</f>
        <v>600000</v>
      </c>
    </row>
    <row r="21" customFormat="false" ht="15" hidden="false" customHeight="false" outlineLevel="0" collapsed="false">
      <c r="A21" s="2" t="n">
        <v>46027</v>
      </c>
      <c r="B21" s="3" t="s">
        <v>16</v>
      </c>
      <c r="C21" s="3" t="s">
        <v>8</v>
      </c>
      <c r="D21" s="3" t="s">
        <v>15</v>
      </c>
      <c r="E21" s="4" t="n">
        <v>39</v>
      </c>
      <c r="F21" s="4" t="n">
        <v>50000</v>
      </c>
      <c r="G21" s="4" t="n">
        <f aca="false">E21*F21</f>
        <v>1950000</v>
      </c>
    </row>
    <row r="22" customFormat="false" ht="15" hidden="false" customHeight="false" outlineLevel="0" collapsed="false">
      <c r="A22" s="2" t="n">
        <v>46027</v>
      </c>
      <c r="B22" s="3" t="s">
        <v>7</v>
      </c>
      <c r="C22" s="3" t="s">
        <v>8</v>
      </c>
      <c r="D22" s="3" t="s">
        <v>15</v>
      </c>
      <c r="E22" s="4" t="n">
        <v>10</v>
      </c>
      <c r="F22" s="4" t="n">
        <v>50000</v>
      </c>
      <c r="G22" s="4" t="n">
        <f aca="false">E22*F22</f>
        <v>500000</v>
      </c>
    </row>
    <row r="23" customFormat="false" ht="15" hidden="false" customHeight="false" outlineLevel="0" collapsed="false">
      <c r="A23" s="2" t="n">
        <v>46027</v>
      </c>
      <c r="B23" s="3" t="s">
        <v>7</v>
      </c>
      <c r="C23" s="3" t="s">
        <v>17</v>
      </c>
      <c r="D23" s="3" t="s">
        <v>12</v>
      </c>
      <c r="E23" s="4" t="n">
        <v>3</v>
      </c>
      <c r="F23" s="4" t="n">
        <v>300000</v>
      </c>
      <c r="G23" s="4" t="n">
        <f aca="false">E23*F23</f>
        <v>900000</v>
      </c>
    </row>
    <row r="24" customFormat="false" ht="15" hidden="false" customHeight="false" outlineLevel="0" collapsed="false">
      <c r="A24" s="2" t="n">
        <v>46027</v>
      </c>
      <c r="B24" s="3" t="s">
        <v>10</v>
      </c>
      <c r="C24" s="3" t="s">
        <v>17</v>
      </c>
      <c r="D24" s="3" t="s">
        <v>15</v>
      </c>
      <c r="E24" s="4" t="n">
        <v>1</v>
      </c>
      <c r="F24" s="4" t="n">
        <v>300000</v>
      </c>
      <c r="G24" s="4" t="n">
        <f aca="false">E24*F24</f>
        <v>300000</v>
      </c>
    </row>
    <row r="25" customFormat="false" ht="15" hidden="false" customHeight="false" outlineLevel="0" collapsed="false">
      <c r="A25" s="2" t="n">
        <v>46027</v>
      </c>
      <c r="B25" s="3" t="s">
        <v>11</v>
      </c>
      <c r="C25" s="3" t="s">
        <v>8</v>
      </c>
      <c r="D25" s="3" t="s">
        <v>9</v>
      </c>
      <c r="E25" s="4" t="n">
        <v>31</v>
      </c>
      <c r="F25" s="4" t="n">
        <v>50000</v>
      </c>
      <c r="G25" s="4" t="n">
        <f aca="false">E25*F25</f>
        <v>1550000</v>
      </c>
    </row>
    <row r="26" customFormat="false" ht="15" hidden="false" customHeight="false" outlineLevel="0" collapsed="false">
      <c r="A26" s="2" t="n">
        <v>46027</v>
      </c>
      <c r="B26" s="3" t="s">
        <v>14</v>
      </c>
      <c r="C26" s="3" t="s">
        <v>8</v>
      </c>
      <c r="D26" s="3" t="s">
        <v>12</v>
      </c>
      <c r="E26" s="4" t="n">
        <v>21</v>
      </c>
      <c r="F26" s="4" t="n">
        <v>50000</v>
      </c>
      <c r="G26" s="4" t="n">
        <f aca="false">E26*F26</f>
        <v>1050000</v>
      </c>
    </row>
    <row r="27" customFormat="false" ht="15" hidden="false" customHeight="false" outlineLevel="0" collapsed="false">
      <c r="A27" s="2" t="n">
        <v>46027</v>
      </c>
      <c r="B27" s="3" t="s">
        <v>14</v>
      </c>
      <c r="C27" s="3" t="s">
        <v>8</v>
      </c>
      <c r="D27" s="3" t="s">
        <v>15</v>
      </c>
      <c r="E27" s="4" t="n">
        <v>36</v>
      </c>
      <c r="F27" s="4" t="n">
        <v>50000</v>
      </c>
      <c r="G27" s="4" t="n">
        <f aca="false">E27*F27</f>
        <v>1800000</v>
      </c>
    </row>
    <row r="28" customFormat="false" ht="15" hidden="false" customHeight="false" outlineLevel="0" collapsed="false">
      <c r="A28" s="2" t="n">
        <v>46028</v>
      </c>
      <c r="B28" s="3" t="s">
        <v>11</v>
      </c>
      <c r="C28" s="3" t="s">
        <v>13</v>
      </c>
      <c r="D28" s="3" t="s">
        <v>12</v>
      </c>
      <c r="E28" s="4" t="n">
        <v>7</v>
      </c>
      <c r="F28" s="4" t="n">
        <v>150000</v>
      </c>
      <c r="G28" s="4" t="n">
        <f aca="false">E28*F28</f>
        <v>1050000</v>
      </c>
    </row>
    <row r="29" customFormat="false" ht="15" hidden="false" customHeight="false" outlineLevel="0" collapsed="false">
      <c r="A29" s="2" t="n">
        <v>46028</v>
      </c>
      <c r="B29" s="3" t="s">
        <v>11</v>
      </c>
      <c r="C29" s="3" t="s">
        <v>13</v>
      </c>
      <c r="D29" s="3" t="s">
        <v>9</v>
      </c>
      <c r="E29" s="4" t="n">
        <v>3</v>
      </c>
      <c r="F29" s="4" t="n">
        <v>150000</v>
      </c>
      <c r="G29" s="4" t="n">
        <f aca="false">E29*F29</f>
        <v>450000</v>
      </c>
    </row>
    <row r="30" customFormat="false" ht="15" hidden="false" customHeight="false" outlineLevel="0" collapsed="false">
      <c r="A30" s="2" t="n">
        <v>46028</v>
      </c>
      <c r="B30" s="3" t="s">
        <v>11</v>
      </c>
      <c r="C30" s="3" t="s">
        <v>17</v>
      </c>
      <c r="D30" s="3" t="s">
        <v>12</v>
      </c>
      <c r="E30" s="4" t="n">
        <v>3</v>
      </c>
      <c r="F30" s="4" t="n">
        <v>300000</v>
      </c>
      <c r="G30" s="4" t="n">
        <f aca="false">E30*F30</f>
        <v>900000</v>
      </c>
    </row>
    <row r="31" customFormat="false" ht="15" hidden="false" customHeight="false" outlineLevel="0" collapsed="false">
      <c r="A31" s="2" t="n">
        <v>46028</v>
      </c>
      <c r="B31" s="3" t="s">
        <v>11</v>
      </c>
      <c r="C31" s="3" t="s">
        <v>17</v>
      </c>
      <c r="D31" s="3" t="s">
        <v>12</v>
      </c>
      <c r="E31" s="4" t="n">
        <v>1</v>
      </c>
      <c r="F31" s="4" t="n">
        <v>300000</v>
      </c>
      <c r="G31" s="4" t="n">
        <f aca="false">E31*F31</f>
        <v>300000</v>
      </c>
    </row>
    <row r="32" customFormat="false" ht="15" hidden="false" customHeight="false" outlineLevel="0" collapsed="false">
      <c r="A32" s="2" t="n">
        <v>46028</v>
      </c>
      <c r="B32" s="3" t="s">
        <v>14</v>
      </c>
      <c r="C32" s="3" t="s">
        <v>8</v>
      </c>
      <c r="D32" s="3" t="s">
        <v>15</v>
      </c>
      <c r="E32" s="4" t="n">
        <v>43</v>
      </c>
      <c r="F32" s="4" t="n">
        <v>50000</v>
      </c>
      <c r="G32" s="4" t="n">
        <f aca="false">E32*F32</f>
        <v>2150000</v>
      </c>
    </row>
    <row r="33" customFormat="false" ht="15" hidden="false" customHeight="false" outlineLevel="0" collapsed="false">
      <c r="A33" s="2" t="n">
        <v>46028</v>
      </c>
      <c r="B33" s="3" t="s">
        <v>14</v>
      </c>
      <c r="C33" s="3" t="s">
        <v>13</v>
      </c>
      <c r="D33" s="3" t="s">
        <v>9</v>
      </c>
      <c r="E33" s="4" t="n">
        <v>14</v>
      </c>
      <c r="F33" s="4" t="n">
        <v>150000</v>
      </c>
      <c r="G33" s="4" t="n">
        <f aca="false">E33*F33</f>
        <v>2100000</v>
      </c>
    </row>
    <row r="34" customFormat="false" ht="15" hidden="false" customHeight="false" outlineLevel="0" collapsed="false">
      <c r="A34" s="2" t="n">
        <v>46029</v>
      </c>
      <c r="B34" s="3" t="s">
        <v>16</v>
      </c>
      <c r="C34" s="3" t="s">
        <v>8</v>
      </c>
      <c r="D34" s="3" t="s">
        <v>9</v>
      </c>
      <c r="E34" s="4" t="n">
        <v>15</v>
      </c>
      <c r="F34" s="4" t="n">
        <v>50000</v>
      </c>
      <c r="G34" s="4" t="n">
        <f aca="false">E34*F34</f>
        <v>750000</v>
      </c>
    </row>
    <row r="35" customFormat="false" ht="15" hidden="false" customHeight="false" outlineLevel="0" collapsed="false">
      <c r="A35" s="2" t="n">
        <v>46029</v>
      </c>
      <c r="B35" s="3" t="s">
        <v>7</v>
      </c>
      <c r="C35" s="3" t="s">
        <v>8</v>
      </c>
      <c r="D35" s="3" t="s">
        <v>15</v>
      </c>
      <c r="E35" s="4" t="n">
        <v>43</v>
      </c>
      <c r="F35" s="4" t="n">
        <v>50000</v>
      </c>
      <c r="G35" s="4" t="n">
        <f aca="false">E35*F35</f>
        <v>2150000</v>
      </c>
    </row>
    <row r="36" customFormat="false" ht="15" hidden="false" customHeight="false" outlineLevel="0" collapsed="false">
      <c r="A36" s="2" t="n">
        <v>46029</v>
      </c>
      <c r="B36" s="3" t="s">
        <v>7</v>
      </c>
      <c r="C36" s="3" t="s">
        <v>13</v>
      </c>
      <c r="D36" s="3" t="s">
        <v>15</v>
      </c>
      <c r="E36" s="4" t="n">
        <v>3</v>
      </c>
      <c r="F36" s="4" t="n">
        <v>150000</v>
      </c>
      <c r="G36" s="4" t="n">
        <f aca="false">E36*F36</f>
        <v>450000</v>
      </c>
    </row>
    <row r="37" customFormat="false" ht="15" hidden="false" customHeight="false" outlineLevel="0" collapsed="false">
      <c r="A37" s="2" t="n">
        <v>46029</v>
      </c>
      <c r="B37" s="3" t="s">
        <v>7</v>
      </c>
      <c r="C37" s="3" t="s">
        <v>17</v>
      </c>
      <c r="D37" s="3" t="s">
        <v>12</v>
      </c>
      <c r="E37" s="4" t="n">
        <v>3</v>
      </c>
      <c r="F37" s="4" t="n">
        <v>300000</v>
      </c>
      <c r="G37" s="4" t="n">
        <f aca="false">E37*F37</f>
        <v>900000</v>
      </c>
    </row>
    <row r="38" customFormat="false" ht="15" hidden="false" customHeight="false" outlineLevel="0" collapsed="false">
      <c r="A38" s="2" t="n">
        <v>46029</v>
      </c>
      <c r="B38" s="3" t="s">
        <v>10</v>
      </c>
      <c r="C38" s="3" t="s">
        <v>8</v>
      </c>
      <c r="D38" s="3" t="s">
        <v>12</v>
      </c>
      <c r="E38" s="4" t="n">
        <v>23</v>
      </c>
      <c r="F38" s="4" t="n">
        <v>50000</v>
      </c>
      <c r="G38" s="4" t="n">
        <f aca="false">E38*F38</f>
        <v>1150000</v>
      </c>
    </row>
    <row r="39" customFormat="false" ht="15" hidden="false" customHeight="false" outlineLevel="0" collapsed="false">
      <c r="A39" s="2" t="n">
        <v>46029</v>
      </c>
      <c r="B39" s="3" t="s">
        <v>10</v>
      </c>
      <c r="C39" s="3" t="s">
        <v>13</v>
      </c>
      <c r="D39" s="3" t="s">
        <v>15</v>
      </c>
      <c r="E39" s="4" t="n">
        <v>14</v>
      </c>
      <c r="F39" s="4" t="n">
        <v>150000</v>
      </c>
      <c r="G39" s="4" t="n">
        <f aca="false">E39*F39</f>
        <v>2100000</v>
      </c>
    </row>
    <row r="40" customFormat="false" ht="15" hidden="false" customHeight="false" outlineLevel="0" collapsed="false">
      <c r="A40" s="2" t="n">
        <v>46029</v>
      </c>
      <c r="B40" s="3" t="s">
        <v>11</v>
      </c>
      <c r="C40" s="3" t="s">
        <v>8</v>
      </c>
      <c r="D40" s="3" t="s">
        <v>9</v>
      </c>
      <c r="E40" s="4" t="n">
        <v>44</v>
      </c>
      <c r="F40" s="4" t="n">
        <v>50000</v>
      </c>
      <c r="G40" s="4" t="n">
        <f aca="false">E40*F40</f>
        <v>2200000</v>
      </c>
    </row>
    <row r="41" customFormat="false" ht="15" hidden="false" customHeight="false" outlineLevel="0" collapsed="false">
      <c r="A41" s="2" t="n">
        <v>46029</v>
      </c>
      <c r="B41" s="3" t="s">
        <v>11</v>
      </c>
      <c r="C41" s="3" t="s">
        <v>13</v>
      </c>
      <c r="D41" s="3" t="s">
        <v>9</v>
      </c>
      <c r="E41" s="4" t="n">
        <v>11</v>
      </c>
      <c r="F41" s="4" t="n">
        <v>150000</v>
      </c>
      <c r="G41" s="4" t="n">
        <f aca="false">E41*F41</f>
        <v>1650000</v>
      </c>
    </row>
    <row r="42" customFormat="false" ht="15" hidden="false" customHeight="false" outlineLevel="0" collapsed="false">
      <c r="A42" s="2" t="n">
        <v>46029</v>
      </c>
      <c r="B42" s="3" t="s">
        <v>14</v>
      </c>
      <c r="C42" s="3" t="s">
        <v>8</v>
      </c>
      <c r="D42" s="3" t="s">
        <v>12</v>
      </c>
      <c r="E42" s="4" t="n">
        <v>24</v>
      </c>
      <c r="F42" s="4" t="n">
        <v>50000</v>
      </c>
      <c r="G42" s="4" t="n">
        <f aca="false">E42*F42</f>
        <v>1200000</v>
      </c>
    </row>
    <row r="43" customFormat="false" ht="15" hidden="false" customHeight="false" outlineLevel="0" collapsed="false">
      <c r="A43" s="2" t="n">
        <v>46029</v>
      </c>
      <c r="B43" s="3" t="s">
        <v>14</v>
      </c>
      <c r="C43" s="3" t="s">
        <v>8</v>
      </c>
      <c r="D43" s="3" t="s">
        <v>9</v>
      </c>
      <c r="E43" s="4" t="n">
        <v>39</v>
      </c>
      <c r="F43" s="4" t="n">
        <v>50000</v>
      </c>
      <c r="G43" s="4" t="n">
        <f aca="false">E43*F43</f>
        <v>1950000</v>
      </c>
    </row>
    <row r="44" customFormat="false" ht="15" hidden="false" customHeight="false" outlineLevel="0" collapsed="false">
      <c r="A44" s="2" t="n">
        <v>46030</v>
      </c>
      <c r="B44" s="3" t="s">
        <v>7</v>
      </c>
      <c r="C44" s="3" t="s">
        <v>8</v>
      </c>
      <c r="D44" s="3" t="s">
        <v>12</v>
      </c>
      <c r="E44" s="4" t="n">
        <v>9</v>
      </c>
      <c r="F44" s="4" t="n">
        <v>50000</v>
      </c>
      <c r="G44" s="4" t="n">
        <f aca="false">E44*F44</f>
        <v>450000</v>
      </c>
    </row>
    <row r="45" customFormat="false" ht="15" hidden="false" customHeight="false" outlineLevel="0" collapsed="false">
      <c r="A45" s="2" t="n">
        <v>46030</v>
      </c>
      <c r="B45" s="3" t="s">
        <v>10</v>
      </c>
      <c r="C45" s="3" t="s">
        <v>13</v>
      </c>
      <c r="D45" s="3" t="s">
        <v>9</v>
      </c>
      <c r="E45" s="4" t="n">
        <v>7</v>
      </c>
      <c r="F45" s="4" t="n">
        <v>150000</v>
      </c>
      <c r="G45" s="4" t="n">
        <f aca="false">E45*F45</f>
        <v>1050000</v>
      </c>
    </row>
    <row r="46" customFormat="false" ht="15" hidden="false" customHeight="false" outlineLevel="0" collapsed="false">
      <c r="A46" s="2" t="n">
        <v>46030</v>
      </c>
      <c r="B46" s="3" t="s">
        <v>10</v>
      </c>
      <c r="C46" s="3" t="s">
        <v>13</v>
      </c>
      <c r="D46" s="3" t="s">
        <v>15</v>
      </c>
      <c r="E46" s="4" t="n">
        <v>7</v>
      </c>
      <c r="F46" s="4" t="n">
        <v>150000</v>
      </c>
      <c r="G46" s="4" t="n">
        <f aca="false">E46*F46</f>
        <v>1050000</v>
      </c>
    </row>
    <row r="47" customFormat="false" ht="15" hidden="false" customHeight="false" outlineLevel="0" collapsed="false">
      <c r="A47" s="2" t="n">
        <v>46030</v>
      </c>
      <c r="B47" s="3" t="s">
        <v>10</v>
      </c>
      <c r="C47" s="3" t="s">
        <v>17</v>
      </c>
      <c r="D47" s="3" t="s">
        <v>12</v>
      </c>
      <c r="E47" s="4" t="n">
        <v>3</v>
      </c>
      <c r="F47" s="4" t="n">
        <v>300000</v>
      </c>
      <c r="G47" s="4" t="n">
        <f aca="false">E47*F47</f>
        <v>900000</v>
      </c>
    </row>
    <row r="48" customFormat="false" ht="15" hidden="false" customHeight="false" outlineLevel="0" collapsed="false">
      <c r="A48" s="2" t="n">
        <v>46030</v>
      </c>
      <c r="B48" s="3" t="s">
        <v>11</v>
      </c>
      <c r="C48" s="3" t="s">
        <v>13</v>
      </c>
      <c r="D48" s="3" t="s">
        <v>9</v>
      </c>
      <c r="E48" s="4" t="n">
        <v>3</v>
      </c>
      <c r="F48" s="4" t="n">
        <v>150000</v>
      </c>
      <c r="G48" s="4" t="n">
        <f aca="false">E48*F48</f>
        <v>450000</v>
      </c>
    </row>
    <row r="49" customFormat="false" ht="15" hidden="false" customHeight="false" outlineLevel="0" collapsed="false">
      <c r="A49" s="2" t="n">
        <v>46030</v>
      </c>
      <c r="B49" s="3" t="s">
        <v>14</v>
      </c>
      <c r="C49" s="3" t="s">
        <v>8</v>
      </c>
      <c r="D49" s="3" t="s">
        <v>12</v>
      </c>
      <c r="E49" s="4" t="n">
        <v>17</v>
      </c>
      <c r="F49" s="4" t="n">
        <v>50000</v>
      </c>
      <c r="G49" s="4" t="n">
        <f aca="false">E49*F49</f>
        <v>850000</v>
      </c>
    </row>
    <row r="50" customFormat="false" ht="15" hidden="false" customHeight="false" outlineLevel="0" collapsed="false">
      <c r="A50" s="2" t="n">
        <v>46030</v>
      </c>
      <c r="B50" s="3" t="s">
        <v>14</v>
      </c>
      <c r="C50" s="3" t="s">
        <v>8</v>
      </c>
      <c r="D50" s="3" t="s">
        <v>15</v>
      </c>
      <c r="E50" s="4" t="n">
        <v>10</v>
      </c>
      <c r="F50" s="4" t="n">
        <v>50000</v>
      </c>
      <c r="G50" s="4" t="n">
        <f aca="false">E50*F50</f>
        <v>500000</v>
      </c>
    </row>
    <row r="51" customFormat="false" ht="15" hidden="false" customHeight="false" outlineLevel="0" collapsed="false">
      <c r="A51" s="2" t="n">
        <v>46031</v>
      </c>
      <c r="B51" s="3" t="s">
        <v>10</v>
      </c>
      <c r="C51" s="3" t="s">
        <v>13</v>
      </c>
      <c r="D51" s="3" t="s">
        <v>15</v>
      </c>
      <c r="E51" s="4" t="n">
        <v>13</v>
      </c>
      <c r="F51" s="4" t="n">
        <v>150000</v>
      </c>
      <c r="G51" s="4" t="n">
        <f aca="false">E51*F51</f>
        <v>1950000</v>
      </c>
    </row>
    <row r="52" customFormat="false" ht="15" hidden="false" customHeight="false" outlineLevel="0" collapsed="false">
      <c r="A52" s="2" t="n">
        <v>46031</v>
      </c>
      <c r="B52" s="3" t="s">
        <v>11</v>
      </c>
      <c r="C52" s="3" t="s">
        <v>8</v>
      </c>
      <c r="D52" s="3" t="s">
        <v>12</v>
      </c>
      <c r="E52" s="4" t="n">
        <v>8</v>
      </c>
      <c r="F52" s="4" t="n">
        <v>50000</v>
      </c>
      <c r="G52" s="4" t="n">
        <f aca="false">E52*F52</f>
        <v>400000</v>
      </c>
    </row>
    <row r="53" customFormat="false" ht="15" hidden="false" customHeight="false" outlineLevel="0" collapsed="false">
      <c r="A53" s="2" t="n">
        <v>46031</v>
      </c>
      <c r="B53" s="3" t="s">
        <v>11</v>
      </c>
      <c r="C53" s="3" t="s">
        <v>8</v>
      </c>
      <c r="D53" s="3" t="s">
        <v>9</v>
      </c>
      <c r="E53" s="4" t="n">
        <v>15</v>
      </c>
      <c r="F53" s="4" t="n">
        <v>50000</v>
      </c>
      <c r="G53" s="4" t="n">
        <f aca="false">E53*F53</f>
        <v>750000</v>
      </c>
    </row>
    <row r="54" customFormat="false" ht="15" hidden="false" customHeight="false" outlineLevel="0" collapsed="false">
      <c r="A54" s="2" t="n">
        <v>46031</v>
      </c>
      <c r="B54" s="3" t="s">
        <v>11</v>
      </c>
      <c r="C54" s="3" t="s">
        <v>13</v>
      </c>
      <c r="D54" s="3" t="s">
        <v>9</v>
      </c>
      <c r="E54" s="4" t="n">
        <v>11</v>
      </c>
      <c r="F54" s="4" t="n">
        <v>150000</v>
      </c>
      <c r="G54" s="4" t="n">
        <f aca="false">E54*F54</f>
        <v>1650000</v>
      </c>
    </row>
    <row r="55" customFormat="false" ht="15" hidden="false" customHeight="false" outlineLevel="0" collapsed="false">
      <c r="A55" s="2" t="n">
        <v>46031</v>
      </c>
      <c r="B55" s="3" t="s">
        <v>11</v>
      </c>
      <c r="C55" s="3" t="s">
        <v>13</v>
      </c>
      <c r="D55" s="3" t="s">
        <v>12</v>
      </c>
      <c r="E55" s="4" t="n">
        <v>9</v>
      </c>
      <c r="F55" s="4" t="n">
        <v>150000</v>
      </c>
      <c r="G55" s="4" t="n">
        <f aca="false">E55*F55</f>
        <v>1350000</v>
      </c>
    </row>
    <row r="56" customFormat="false" ht="15" hidden="false" customHeight="false" outlineLevel="0" collapsed="false">
      <c r="A56" s="2" t="n">
        <v>46031</v>
      </c>
      <c r="B56" s="3" t="s">
        <v>11</v>
      </c>
      <c r="C56" s="3" t="s">
        <v>17</v>
      </c>
      <c r="D56" s="3" t="s">
        <v>12</v>
      </c>
      <c r="E56" s="4" t="n">
        <v>3</v>
      </c>
      <c r="F56" s="4" t="n">
        <v>300000</v>
      </c>
      <c r="G56" s="4" t="n">
        <f aca="false">E56*F56</f>
        <v>900000</v>
      </c>
    </row>
    <row r="57" customFormat="false" ht="15" hidden="false" customHeight="false" outlineLevel="0" collapsed="false">
      <c r="A57" s="2" t="n">
        <v>46031</v>
      </c>
      <c r="B57" s="3" t="s">
        <v>14</v>
      </c>
      <c r="C57" s="3" t="s">
        <v>8</v>
      </c>
      <c r="D57" s="3" t="s">
        <v>15</v>
      </c>
      <c r="E57" s="4" t="n">
        <v>9</v>
      </c>
      <c r="F57" s="4" t="n">
        <v>50000</v>
      </c>
      <c r="G57" s="4" t="n">
        <f aca="false">E57*F57</f>
        <v>450000</v>
      </c>
    </row>
    <row r="58" customFormat="false" ht="15" hidden="false" customHeight="false" outlineLevel="0" collapsed="false">
      <c r="A58" s="2" t="n">
        <v>46031</v>
      </c>
      <c r="B58" s="3" t="s">
        <v>14</v>
      </c>
      <c r="C58" s="3" t="s">
        <v>17</v>
      </c>
      <c r="D58" s="3" t="s">
        <v>15</v>
      </c>
      <c r="E58" s="4" t="n">
        <v>1</v>
      </c>
      <c r="F58" s="4" t="n">
        <v>300000</v>
      </c>
      <c r="G58" s="4" t="n">
        <f aca="false">E58*F58</f>
        <v>300000</v>
      </c>
    </row>
    <row r="59" customFormat="false" ht="15" hidden="false" customHeight="false" outlineLevel="0" collapsed="false">
      <c r="A59" s="2" t="n">
        <v>46034</v>
      </c>
      <c r="B59" s="3" t="s">
        <v>16</v>
      </c>
      <c r="C59" s="3" t="s">
        <v>8</v>
      </c>
      <c r="D59" s="3" t="s">
        <v>12</v>
      </c>
      <c r="E59" s="4" t="n">
        <v>33</v>
      </c>
      <c r="F59" s="4" t="n">
        <v>50000</v>
      </c>
      <c r="G59" s="4" t="n">
        <f aca="false">E59*F59</f>
        <v>1650000</v>
      </c>
    </row>
    <row r="60" customFormat="false" ht="15" hidden="false" customHeight="false" outlineLevel="0" collapsed="false">
      <c r="A60" s="2" t="n">
        <v>46034</v>
      </c>
      <c r="B60" s="3" t="s">
        <v>16</v>
      </c>
      <c r="C60" s="3" t="s">
        <v>17</v>
      </c>
      <c r="D60" s="3" t="s">
        <v>12</v>
      </c>
      <c r="E60" s="4" t="n">
        <v>2</v>
      </c>
      <c r="F60" s="4" t="n">
        <v>300000</v>
      </c>
      <c r="G60" s="4" t="n">
        <f aca="false">E60*F60</f>
        <v>600000</v>
      </c>
    </row>
    <row r="61" customFormat="false" ht="15" hidden="false" customHeight="false" outlineLevel="0" collapsed="false">
      <c r="A61" s="2" t="n">
        <v>46034</v>
      </c>
      <c r="B61" s="3" t="s">
        <v>10</v>
      </c>
      <c r="C61" s="3" t="s">
        <v>8</v>
      </c>
      <c r="D61" s="3" t="s">
        <v>12</v>
      </c>
      <c r="E61" s="4" t="n">
        <v>20</v>
      </c>
      <c r="F61" s="4" t="n">
        <v>50000</v>
      </c>
      <c r="G61" s="4" t="n">
        <f aca="false">E61*F61</f>
        <v>1000000</v>
      </c>
    </row>
    <row r="62" customFormat="false" ht="15" hidden="false" customHeight="false" outlineLevel="0" collapsed="false">
      <c r="A62" s="2" t="n">
        <v>46034</v>
      </c>
      <c r="B62" s="3" t="s">
        <v>11</v>
      </c>
      <c r="C62" s="3" t="s">
        <v>8</v>
      </c>
      <c r="D62" s="3" t="s">
        <v>12</v>
      </c>
      <c r="E62" s="4" t="n">
        <v>7</v>
      </c>
      <c r="F62" s="4" t="n">
        <v>50000</v>
      </c>
      <c r="G62" s="4" t="n">
        <f aca="false">E62*F62</f>
        <v>350000</v>
      </c>
    </row>
    <row r="63" customFormat="false" ht="15" hidden="false" customHeight="false" outlineLevel="0" collapsed="false">
      <c r="A63" s="2" t="n">
        <v>46034</v>
      </c>
      <c r="B63" s="3" t="s">
        <v>11</v>
      </c>
      <c r="C63" s="3" t="s">
        <v>17</v>
      </c>
      <c r="D63" s="3" t="s">
        <v>12</v>
      </c>
      <c r="E63" s="4" t="n">
        <v>4</v>
      </c>
      <c r="F63" s="4" t="n">
        <v>300000</v>
      </c>
      <c r="G63" s="4" t="n">
        <f aca="false">E63*F63</f>
        <v>1200000</v>
      </c>
    </row>
    <row r="64" customFormat="false" ht="15" hidden="false" customHeight="false" outlineLevel="0" collapsed="false">
      <c r="A64" s="2" t="n">
        <v>46034</v>
      </c>
      <c r="B64" s="3" t="s">
        <v>14</v>
      </c>
      <c r="C64" s="3" t="s">
        <v>8</v>
      </c>
      <c r="D64" s="3" t="s">
        <v>12</v>
      </c>
      <c r="E64" s="4" t="n">
        <v>39</v>
      </c>
      <c r="F64" s="4" t="n">
        <v>50000</v>
      </c>
      <c r="G64" s="4" t="n">
        <f aca="false">E64*F64</f>
        <v>1950000</v>
      </c>
    </row>
    <row r="65" customFormat="false" ht="15" hidden="false" customHeight="false" outlineLevel="0" collapsed="false">
      <c r="A65" s="2" t="n">
        <v>46034</v>
      </c>
      <c r="B65" s="3" t="s">
        <v>14</v>
      </c>
      <c r="C65" s="3" t="s">
        <v>8</v>
      </c>
      <c r="D65" s="3" t="s">
        <v>15</v>
      </c>
      <c r="E65" s="4" t="n">
        <v>43</v>
      </c>
      <c r="F65" s="4" t="n">
        <v>50000</v>
      </c>
      <c r="G65" s="4" t="n">
        <f aca="false">E65*F65</f>
        <v>2150000</v>
      </c>
    </row>
    <row r="66" customFormat="false" ht="15" hidden="false" customHeight="false" outlineLevel="0" collapsed="false">
      <c r="A66" s="2" t="n">
        <v>46035</v>
      </c>
      <c r="B66" s="3" t="s">
        <v>16</v>
      </c>
      <c r="C66" s="3" t="s">
        <v>8</v>
      </c>
      <c r="D66" s="3" t="s">
        <v>12</v>
      </c>
      <c r="E66" s="4" t="n">
        <v>26</v>
      </c>
      <c r="F66" s="4" t="n">
        <v>50000</v>
      </c>
      <c r="G66" s="4" t="n">
        <f aca="false">E66*F66</f>
        <v>1300000</v>
      </c>
    </row>
    <row r="67" customFormat="false" ht="15" hidden="false" customHeight="false" outlineLevel="0" collapsed="false">
      <c r="A67" s="2" t="n">
        <v>46035</v>
      </c>
      <c r="B67" s="3" t="s">
        <v>16</v>
      </c>
      <c r="C67" s="3" t="s">
        <v>8</v>
      </c>
      <c r="D67" s="3" t="s">
        <v>12</v>
      </c>
      <c r="E67" s="4" t="n">
        <v>21</v>
      </c>
      <c r="F67" s="4" t="n">
        <v>50000</v>
      </c>
      <c r="G67" s="4" t="n">
        <f aca="false">E67*F67</f>
        <v>1050000</v>
      </c>
    </row>
    <row r="68" customFormat="false" ht="15" hidden="false" customHeight="false" outlineLevel="0" collapsed="false">
      <c r="A68" s="2" t="n">
        <v>46035</v>
      </c>
      <c r="B68" s="3" t="s">
        <v>16</v>
      </c>
      <c r="C68" s="3" t="s">
        <v>8</v>
      </c>
      <c r="D68" s="3" t="s">
        <v>15</v>
      </c>
      <c r="E68" s="4" t="n">
        <v>40</v>
      </c>
      <c r="F68" s="4" t="n">
        <v>50000</v>
      </c>
      <c r="G68" s="4" t="n">
        <f aca="false">E68*F68</f>
        <v>2000000</v>
      </c>
    </row>
    <row r="69" customFormat="false" ht="15" hidden="false" customHeight="false" outlineLevel="0" collapsed="false">
      <c r="A69" s="2" t="n">
        <v>46035</v>
      </c>
      <c r="B69" s="3" t="s">
        <v>7</v>
      </c>
      <c r="C69" s="3" t="s">
        <v>8</v>
      </c>
      <c r="D69" s="3" t="s">
        <v>9</v>
      </c>
      <c r="E69" s="4" t="n">
        <v>38</v>
      </c>
      <c r="F69" s="4" t="n">
        <v>50000</v>
      </c>
      <c r="G69" s="4" t="n">
        <f aca="false">E69*F69</f>
        <v>1900000</v>
      </c>
    </row>
    <row r="70" customFormat="false" ht="15" hidden="false" customHeight="false" outlineLevel="0" collapsed="false">
      <c r="A70" s="2" t="n">
        <v>46035</v>
      </c>
      <c r="B70" s="3" t="s">
        <v>7</v>
      </c>
      <c r="C70" s="3" t="s">
        <v>17</v>
      </c>
      <c r="D70" s="3" t="s">
        <v>12</v>
      </c>
      <c r="E70" s="4" t="n">
        <v>3</v>
      </c>
      <c r="F70" s="4" t="n">
        <v>300000</v>
      </c>
      <c r="G70" s="4" t="n">
        <f aca="false">E70*F70</f>
        <v>900000</v>
      </c>
    </row>
    <row r="71" customFormat="false" ht="15" hidden="false" customHeight="false" outlineLevel="0" collapsed="false">
      <c r="A71" s="2" t="n">
        <v>46035</v>
      </c>
      <c r="B71" s="3" t="s">
        <v>10</v>
      </c>
      <c r="C71" s="3" t="s">
        <v>8</v>
      </c>
      <c r="D71" s="3" t="s">
        <v>9</v>
      </c>
      <c r="E71" s="4" t="n">
        <v>46</v>
      </c>
      <c r="F71" s="4" t="n">
        <v>50000</v>
      </c>
      <c r="G71" s="4" t="n">
        <f aca="false">E71*F71</f>
        <v>2300000</v>
      </c>
    </row>
    <row r="72" customFormat="false" ht="15" hidden="false" customHeight="false" outlineLevel="0" collapsed="false">
      <c r="A72" s="2" t="n">
        <v>46035</v>
      </c>
      <c r="B72" s="3" t="s">
        <v>10</v>
      </c>
      <c r="C72" s="3" t="s">
        <v>8</v>
      </c>
      <c r="D72" s="3" t="s">
        <v>12</v>
      </c>
      <c r="E72" s="4" t="n">
        <v>32</v>
      </c>
      <c r="F72" s="4" t="n">
        <v>50000</v>
      </c>
      <c r="G72" s="4" t="n">
        <f aca="false">E72*F72</f>
        <v>1600000</v>
      </c>
    </row>
    <row r="73" customFormat="false" ht="15" hidden="false" customHeight="false" outlineLevel="0" collapsed="false">
      <c r="A73" s="2" t="n">
        <v>46035</v>
      </c>
      <c r="B73" s="3" t="s">
        <v>11</v>
      </c>
      <c r="C73" s="3" t="s">
        <v>8</v>
      </c>
      <c r="D73" s="3" t="s">
        <v>12</v>
      </c>
      <c r="E73" s="4" t="n">
        <v>9</v>
      </c>
      <c r="F73" s="4" t="n">
        <v>50000</v>
      </c>
      <c r="G73" s="4" t="n">
        <f aca="false">E73*F73</f>
        <v>450000</v>
      </c>
    </row>
    <row r="74" customFormat="false" ht="15" hidden="false" customHeight="false" outlineLevel="0" collapsed="false">
      <c r="A74" s="2" t="n">
        <v>46035</v>
      </c>
      <c r="B74" s="3" t="s">
        <v>11</v>
      </c>
      <c r="C74" s="3" t="s">
        <v>8</v>
      </c>
      <c r="D74" s="3" t="s">
        <v>15</v>
      </c>
      <c r="E74" s="4" t="n">
        <v>39</v>
      </c>
      <c r="F74" s="4" t="n">
        <v>50000</v>
      </c>
      <c r="G74" s="4" t="n">
        <f aca="false">E74*F74</f>
        <v>1950000</v>
      </c>
    </row>
    <row r="75" customFormat="false" ht="15" hidden="false" customHeight="false" outlineLevel="0" collapsed="false">
      <c r="A75" s="2" t="n">
        <v>46035</v>
      </c>
      <c r="B75" s="3" t="s">
        <v>11</v>
      </c>
      <c r="C75" s="3" t="s">
        <v>8</v>
      </c>
      <c r="D75" s="3" t="s">
        <v>12</v>
      </c>
      <c r="E75" s="4" t="n">
        <v>44</v>
      </c>
      <c r="F75" s="4" t="n">
        <v>50000</v>
      </c>
      <c r="G75" s="4" t="n">
        <f aca="false">E75*F75</f>
        <v>2200000</v>
      </c>
    </row>
    <row r="76" customFormat="false" ht="15" hidden="false" customHeight="false" outlineLevel="0" collapsed="false">
      <c r="A76" s="2" t="n">
        <v>46036</v>
      </c>
      <c r="B76" s="3" t="s">
        <v>16</v>
      </c>
      <c r="C76" s="3" t="s">
        <v>13</v>
      </c>
      <c r="D76" s="3" t="s">
        <v>12</v>
      </c>
      <c r="E76" s="4" t="n">
        <v>5</v>
      </c>
      <c r="F76" s="4" t="n">
        <v>150000</v>
      </c>
      <c r="G76" s="4" t="n">
        <f aca="false">E76*F76</f>
        <v>750000</v>
      </c>
    </row>
    <row r="77" customFormat="false" ht="15" hidden="false" customHeight="false" outlineLevel="0" collapsed="false">
      <c r="A77" s="2" t="n">
        <v>46036</v>
      </c>
      <c r="B77" s="3" t="s">
        <v>7</v>
      </c>
      <c r="C77" s="3" t="s">
        <v>13</v>
      </c>
      <c r="D77" s="3" t="s">
        <v>9</v>
      </c>
      <c r="E77" s="4" t="n">
        <v>14</v>
      </c>
      <c r="F77" s="4" t="n">
        <v>150000</v>
      </c>
      <c r="G77" s="4" t="n">
        <f aca="false">E77*F77</f>
        <v>2100000</v>
      </c>
    </row>
    <row r="78" customFormat="false" ht="15" hidden="false" customHeight="false" outlineLevel="0" collapsed="false">
      <c r="A78" s="2" t="n">
        <v>46036</v>
      </c>
      <c r="B78" s="3" t="s">
        <v>10</v>
      </c>
      <c r="C78" s="3" t="s">
        <v>8</v>
      </c>
      <c r="D78" s="3" t="s">
        <v>15</v>
      </c>
      <c r="E78" s="4" t="n">
        <v>23</v>
      </c>
      <c r="F78" s="4" t="n">
        <v>50000</v>
      </c>
      <c r="G78" s="4" t="n">
        <f aca="false">E78*F78</f>
        <v>1150000</v>
      </c>
    </row>
    <row r="79" customFormat="false" ht="15" hidden="false" customHeight="false" outlineLevel="0" collapsed="false">
      <c r="A79" s="2" t="n">
        <v>46036</v>
      </c>
      <c r="B79" s="3" t="s">
        <v>11</v>
      </c>
      <c r="C79" s="3" t="s">
        <v>8</v>
      </c>
      <c r="D79" s="3" t="s">
        <v>15</v>
      </c>
      <c r="E79" s="4" t="n">
        <v>46</v>
      </c>
      <c r="F79" s="4" t="n">
        <v>50000</v>
      </c>
      <c r="G79" s="4" t="n">
        <f aca="false">E79*F79</f>
        <v>2300000</v>
      </c>
    </row>
    <row r="80" customFormat="false" ht="15" hidden="false" customHeight="false" outlineLevel="0" collapsed="false">
      <c r="A80" s="2" t="n">
        <v>46036</v>
      </c>
      <c r="B80" s="3" t="s">
        <v>11</v>
      </c>
      <c r="C80" s="3" t="s">
        <v>8</v>
      </c>
      <c r="D80" s="3" t="s">
        <v>9</v>
      </c>
      <c r="E80" s="4" t="n">
        <v>10</v>
      </c>
      <c r="F80" s="4" t="n">
        <v>50000</v>
      </c>
      <c r="G80" s="4" t="n">
        <f aca="false">E80*F80</f>
        <v>500000</v>
      </c>
    </row>
    <row r="81" customFormat="false" ht="15" hidden="false" customHeight="false" outlineLevel="0" collapsed="false">
      <c r="A81" s="2" t="n">
        <v>46036</v>
      </c>
      <c r="B81" s="3" t="s">
        <v>11</v>
      </c>
      <c r="C81" s="3" t="s">
        <v>8</v>
      </c>
      <c r="D81" s="3" t="s">
        <v>12</v>
      </c>
      <c r="E81" s="4" t="n">
        <v>9</v>
      </c>
      <c r="F81" s="4" t="n">
        <v>50000</v>
      </c>
      <c r="G81" s="4" t="n">
        <f aca="false">E81*F81</f>
        <v>450000</v>
      </c>
    </row>
    <row r="82" customFormat="false" ht="15" hidden="false" customHeight="false" outlineLevel="0" collapsed="false">
      <c r="A82" s="2" t="n">
        <v>46036</v>
      </c>
      <c r="B82" s="3" t="s">
        <v>11</v>
      </c>
      <c r="C82" s="3" t="s">
        <v>13</v>
      </c>
      <c r="D82" s="3" t="s">
        <v>9</v>
      </c>
      <c r="E82" s="4" t="n">
        <v>6</v>
      </c>
      <c r="F82" s="4" t="n">
        <v>150000</v>
      </c>
      <c r="G82" s="4" t="n">
        <f aca="false">E82*F82</f>
        <v>900000</v>
      </c>
    </row>
    <row r="83" customFormat="false" ht="15" hidden="false" customHeight="false" outlineLevel="0" collapsed="false">
      <c r="A83" s="2" t="n">
        <v>46037</v>
      </c>
      <c r="B83" s="3" t="s">
        <v>7</v>
      </c>
      <c r="C83" s="3" t="s">
        <v>17</v>
      </c>
      <c r="D83" s="3" t="s">
        <v>12</v>
      </c>
      <c r="E83" s="4" t="n">
        <v>3</v>
      </c>
      <c r="F83" s="4" t="n">
        <v>300000</v>
      </c>
      <c r="G83" s="4" t="n">
        <f aca="false">E83*F83</f>
        <v>900000</v>
      </c>
    </row>
    <row r="84" customFormat="false" ht="15" hidden="false" customHeight="false" outlineLevel="0" collapsed="false">
      <c r="A84" s="2" t="n">
        <v>46037</v>
      </c>
      <c r="B84" s="3" t="s">
        <v>10</v>
      </c>
      <c r="C84" s="3" t="s">
        <v>8</v>
      </c>
      <c r="D84" s="3" t="s">
        <v>9</v>
      </c>
      <c r="E84" s="4" t="n">
        <v>46</v>
      </c>
      <c r="F84" s="4" t="n">
        <v>50000</v>
      </c>
      <c r="G84" s="4" t="n">
        <f aca="false">E84*F84</f>
        <v>2300000</v>
      </c>
    </row>
    <row r="85" customFormat="false" ht="15" hidden="false" customHeight="false" outlineLevel="0" collapsed="false">
      <c r="A85" s="2" t="n">
        <v>46037</v>
      </c>
      <c r="B85" s="3" t="s">
        <v>10</v>
      </c>
      <c r="C85" s="3" t="s">
        <v>8</v>
      </c>
      <c r="D85" s="3" t="s">
        <v>12</v>
      </c>
      <c r="E85" s="4" t="n">
        <v>16</v>
      </c>
      <c r="F85" s="4" t="n">
        <v>50000</v>
      </c>
      <c r="G85" s="4" t="n">
        <f aca="false">E85*F85</f>
        <v>800000</v>
      </c>
    </row>
    <row r="86" customFormat="false" ht="15" hidden="false" customHeight="false" outlineLevel="0" collapsed="false">
      <c r="A86" s="2" t="n">
        <v>46037</v>
      </c>
      <c r="B86" s="3" t="s">
        <v>10</v>
      </c>
      <c r="C86" s="3" t="s">
        <v>13</v>
      </c>
      <c r="D86" s="3" t="s">
        <v>15</v>
      </c>
      <c r="E86" s="4" t="n">
        <v>3</v>
      </c>
      <c r="F86" s="4" t="n">
        <v>150000</v>
      </c>
      <c r="G86" s="4" t="n">
        <f aca="false">E86*F86</f>
        <v>450000</v>
      </c>
    </row>
    <row r="87" customFormat="false" ht="15" hidden="false" customHeight="false" outlineLevel="0" collapsed="false">
      <c r="A87" s="2" t="n">
        <v>46037</v>
      </c>
      <c r="B87" s="3" t="s">
        <v>11</v>
      </c>
      <c r="C87" s="3" t="s">
        <v>13</v>
      </c>
      <c r="D87" s="3" t="s">
        <v>9</v>
      </c>
      <c r="E87" s="4" t="n">
        <v>9</v>
      </c>
      <c r="F87" s="4" t="n">
        <v>150000</v>
      </c>
      <c r="G87" s="4" t="n">
        <f aca="false">E87*F87</f>
        <v>1350000</v>
      </c>
    </row>
    <row r="88" customFormat="false" ht="15" hidden="false" customHeight="false" outlineLevel="0" collapsed="false">
      <c r="A88" s="2" t="n">
        <v>46037</v>
      </c>
      <c r="B88" s="3" t="s">
        <v>11</v>
      </c>
      <c r="C88" s="3" t="s">
        <v>13</v>
      </c>
      <c r="D88" s="3" t="s">
        <v>12</v>
      </c>
      <c r="E88" s="4" t="n">
        <v>13</v>
      </c>
      <c r="F88" s="4" t="n">
        <v>150000</v>
      </c>
      <c r="G88" s="4" t="n">
        <f aca="false">E88*F88</f>
        <v>1950000</v>
      </c>
    </row>
    <row r="89" customFormat="false" ht="15" hidden="false" customHeight="false" outlineLevel="0" collapsed="false">
      <c r="A89" s="2" t="n">
        <v>46037</v>
      </c>
      <c r="B89" s="3" t="s">
        <v>14</v>
      </c>
      <c r="C89" s="3" t="s">
        <v>8</v>
      </c>
      <c r="D89" s="3" t="s">
        <v>12</v>
      </c>
      <c r="E89" s="4" t="n">
        <v>7</v>
      </c>
      <c r="F89" s="4" t="n">
        <v>50000</v>
      </c>
      <c r="G89" s="4" t="n">
        <f aca="false">E89*F89</f>
        <v>350000</v>
      </c>
    </row>
    <row r="90" customFormat="false" ht="15" hidden="false" customHeight="false" outlineLevel="0" collapsed="false">
      <c r="A90" s="2" t="n">
        <v>46037</v>
      </c>
      <c r="B90" s="3" t="s">
        <v>14</v>
      </c>
      <c r="C90" s="3" t="s">
        <v>8</v>
      </c>
      <c r="D90" s="3" t="s">
        <v>15</v>
      </c>
      <c r="E90" s="4" t="n">
        <v>43</v>
      </c>
      <c r="F90" s="4" t="n">
        <v>50000</v>
      </c>
      <c r="G90" s="4" t="n">
        <f aca="false">E90*F90</f>
        <v>2150000</v>
      </c>
    </row>
    <row r="91" customFormat="false" ht="15" hidden="false" customHeight="false" outlineLevel="0" collapsed="false">
      <c r="A91" s="2" t="n">
        <v>46037</v>
      </c>
      <c r="B91" s="3" t="s">
        <v>14</v>
      </c>
      <c r="C91" s="3" t="s">
        <v>13</v>
      </c>
      <c r="D91" s="3" t="s">
        <v>15</v>
      </c>
      <c r="E91" s="4" t="n">
        <v>5</v>
      </c>
      <c r="F91" s="4" t="n">
        <v>150000</v>
      </c>
      <c r="G91" s="4" t="n">
        <f aca="false">E91*F91</f>
        <v>750000</v>
      </c>
    </row>
    <row r="92" customFormat="false" ht="15" hidden="false" customHeight="false" outlineLevel="0" collapsed="false">
      <c r="A92" s="2" t="n">
        <v>46037</v>
      </c>
      <c r="B92" s="3" t="s">
        <v>14</v>
      </c>
      <c r="C92" s="3" t="s">
        <v>13</v>
      </c>
      <c r="D92" s="3" t="s">
        <v>12</v>
      </c>
      <c r="E92" s="4" t="n">
        <v>10</v>
      </c>
      <c r="F92" s="4" t="n">
        <v>150000</v>
      </c>
      <c r="G92" s="4" t="n">
        <f aca="false">E92*F92</f>
        <v>1500000</v>
      </c>
    </row>
    <row r="93" customFormat="false" ht="15" hidden="false" customHeight="false" outlineLevel="0" collapsed="false">
      <c r="A93" s="2" t="n">
        <v>46038</v>
      </c>
      <c r="B93" s="3" t="s">
        <v>16</v>
      </c>
      <c r="C93" s="3" t="s">
        <v>13</v>
      </c>
      <c r="D93" s="3" t="s">
        <v>12</v>
      </c>
      <c r="E93" s="4" t="n">
        <v>12</v>
      </c>
      <c r="F93" s="4" t="n">
        <v>150000</v>
      </c>
      <c r="G93" s="4" t="n">
        <f aca="false">E93*F93</f>
        <v>1800000</v>
      </c>
    </row>
    <row r="94" customFormat="false" ht="15" hidden="false" customHeight="false" outlineLevel="0" collapsed="false">
      <c r="A94" s="2" t="n">
        <v>46038</v>
      </c>
      <c r="B94" s="3" t="s">
        <v>7</v>
      </c>
      <c r="C94" s="3" t="s">
        <v>8</v>
      </c>
      <c r="D94" s="3" t="s">
        <v>15</v>
      </c>
      <c r="E94" s="4" t="n">
        <v>42</v>
      </c>
      <c r="F94" s="4" t="n">
        <v>50000</v>
      </c>
      <c r="G94" s="4" t="n">
        <f aca="false">E94*F94</f>
        <v>2100000</v>
      </c>
    </row>
    <row r="95" customFormat="false" ht="15" hidden="false" customHeight="false" outlineLevel="0" collapsed="false">
      <c r="A95" s="2" t="n">
        <v>46038</v>
      </c>
      <c r="B95" s="3" t="s">
        <v>7</v>
      </c>
      <c r="C95" s="3" t="s">
        <v>8</v>
      </c>
      <c r="D95" s="3" t="s">
        <v>9</v>
      </c>
      <c r="E95" s="4" t="n">
        <v>38</v>
      </c>
      <c r="F95" s="4" t="n">
        <v>50000</v>
      </c>
      <c r="G95" s="4" t="n">
        <f aca="false">E95*F95</f>
        <v>1900000</v>
      </c>
    </row>
    <row r="96" customFormat="false" ht="15" hidden="false" customHeight="false" outlineLevel="0" collapsed="false">
      <c r="A96" s="2" t="n">
        <v>46038</v>
      </c>
      <c r="B96" s="3" t="s">
        <v>7</v>
      </c>
      <c r="C96" s="3" t="s">
        <v>13</v>
      </c>
      <c r="D96" s="3" t="s">
        <v>15</v>
      </c>
      <c r="E96" s="4" t="n">
        <v>7</v>
      </c>
      <c r="F96" s="4" t="n">
        <v>150000</v>
      </c>
      <c r="G96" s="4" t="n">
        <f aca="false">E96*F96</f>
        <v>1050000</v>
      </c>
    </row>
    <row r="97" customFormat="false" ht="15" hidden="false" customHeight="false" outlineLevel="0" collapsed="false">
      <c r="A97" s="2" t="n">
        <v>46038</v>
      </c>
      <c r="B97" s="3" t="s">
        <v>10</v>
      </c>
      <c r="C97" s="3" t="s">
        <v>8</v>
      </c>
      <c r="D97" s="3" t="s">
        <v>9</v>
      </c>
      <c r="E97" s="4" t="n">
        <v>45</v>
      </c>
      <c r="F97" s="4" t="n">
        <v>50000</v>
      </c>
      <c r="G97" s="4" t="n">
        <f aca="false">E97*F97</f>
        <v>2250000</v>
      </c>
    </row>
    <row r="98" customFormat="false" ht="15" hidden="false" customHeight="false" outlineLevel="0" collapsed="false">
      <c r="A98" s="2" t="n">
        <v>46038</v>
      </c>
      <c r="B98" s="3" t="s">
        <v>14</v>
      </c>
      <c r="C98" s="3" t="s">
        <v>8</v>
      </c>
      <c r="D98" s="3" t="s">
        <v>15</v>
      </c>
      <c r="E98" s="4" t="n">
        <v>35</v>
      </c>
      <c r="F98" s="4" t="n">
        <v>50000</v>
      </c>
      <c r="G98" s="4" t="n">
        <f aca="false">E98*F98</f>
        <v>1750000</v>
      </c>
    </row>
    <row r="99" customFormat="false" ht="15" hidden="false" customHeight="false" outlineLevel="0" collapsed="false">
      <c r="A99" s="2" t="n">
        <v>46038</v>
      </c>
      <c r="B99" s="3" t="s">
        <v>14</v>
      </c>
      <c r="C99" s="3" t="s">
        <v>8</v>
      </c>
      <c r="D99" s="3" t="s">
        <v>12</v>
      </c>
      <c r="E99" s="4" t="n">
        <v>39</v>
      </c>
      <c r="F99" s="4" t="n">
        <v>50000</v>
      </c>
      <c r="G99" s="4" t="n">
        <f aca="false">E99*F99</f>
        <v>1950000</v>
      </c>
    </row>
    <row r="100" customFormat="false" ht="15" hidden="false" customHeight="false" outlineLevel="0" collapsed="false">
      <c r="A100" s="2" t="n">
        <v>46038</v>
      </c>
      <c r="B100" s="3" t="s">
        <v>14</v>
      </c>
      <c r="C100" s="3" t="s">
        <v>8</v>
      </c>
      <c r="D100" s="3" t="s">
        <v>9</v>
      </c>
      <c r="E100" s="4" t="n">
        <v>42</v>
      </c>
      <c r="F100" s="4" t="n">
        <v>50000</v>
      </c>
      <c r="G100" s="4" t="n">
        <f aca="false">E100*F100</f>
        <v>2100000</v>
      </c>
    </row>
    <row r="101" customFormat="false" ht="15" hidden="false" customHeight="false" outlineLevel="0" collapsed="false">
      <c r="A101" s="2" t="n">
        <v>46041</v>
      </c>
      <c r="B101" s="3" t="s">
        <v>7</v>
      </c>
      <c r="C101" s="3" t="s">
        <v>13</v>
      </c>
      <c r="D101" s="3" t="s">
        <v>12</v>
      </c>
      <c r="E101" s="4" t="n">
        <v>13</v>
      </c>
      <c r="F101" s="4" t="n">
        <v>150000</v>
      </c>
      <c r="G101" s="4" t="n">
        <f aca="false">E101*F101</f>
        <v>1950000</v>
      </c>
    </row>
    <row r="102" customFormat="false" ht="15" hidden="false" customHeight="false" outlineLevel="0" collapsed="false">
      <c r="A102" s="2" t="n">
        <v>46041</v>
      </c>
      <c r="B102" s="3" t="s">
        <v>7</v>
      </c>
      <c r="C102" s="3" t="s">
        <v>17</v>
      </c>
      <c r="D102" s="3" t="s">
        <v>15</v>
      </c>
      <c r="E102" s="4" t="n">
        <v>2</v>
      </c>
      <c r="F102" s="4" t="n">
        <v>300000</v>
      </c>
      <c r="G102" s="4" t="n">
        <f aca="false">E102*F102</f>
        <v>600000</v>
      </c>
    </row>
    <row r="103" customFormat="false" ht="15" hidden="false" customHeight="false" outlineLevel="0" collapsed="false">
      <c r="A103" s="2" t="n">
        <v>46041</v>
      </c>
      <c r="B103" s="3" t="s">
        <v>7</v>
      </c>
      <c r="C103" s="3" t="s">
        <v>17</v>
      </c>
      <c r="D103" s="3" t="s">
        <v>12</v>
      </c>
      <c r="E103" s="4" t="n">
        <v>2</v>
      </c>
      <c r="F103" s="4" t="n">
        <v>300000</v>
      </c>
      <c r="G103" s="4" t="n">
        <f aca="false">E103*F103</f>
        <v>600000</v>
      </c>
    </row>
    <row r="104" customFormat="false" ht="15" hidden="false" customHeight="false" outlineLevel="0" collapsed="false">
      <c r="A104" s="2" t="n">
        <v>46041</v>
      </c>
      <c r="B104" s="3" t="s">
        <v>10</v>
      </c>
      <c r="C104" s="3" t="s">
        <v>13</v>
      </c>
      <c r="D104" s="3" t="s">
        <v>9</v>
      </c>
      <c r="E104" s="4" t="n">
        <v>7</v>
      </c>
      <c r="F104" s="4" t="n">
        <v>150000</v>
      </c>
      <c r="G104" s="4" t="n">
        <f aca="false">E104*F104</f>
        <v>1050000</v>
      </c>
    </row>
    <row r="105" customFormat="false" ht="15" hidden="false" customHeight="false" outlineLevel="0" collapsed="false">
      <c r="A105" s="2" t="n">
        <v>46041</v>
      </c>
      <c r="B105" s="3" t="s">
        <v>11</v>
      </c>
      <c r="C105" s="3" t="s">
        <v>8</v>
      </c>
      <c r="D105" s="3" t="s">
        <v>12</v>
      </c>
      <c r="E105" s="4" t="n">
        <v>14</v>
      </c>
      <c r="F105" s="4" t="n">
        <v>50000</v>
      </c>
      <c r="G105" s="4" t="n">
        <f aca="false">E105*F105</f>
        <v>700000</v>
      </c>
    </row>
    <row r="106" customFormat="false" ht="15" hidden="false" customHeight="false" outlineLevel="0" collapsed="false">
      <c r="A106" s="2" t="n">
        <v>46041</v>
      </c>
      <c r="B106" s="3" t="s">
        <v>11</v>
      </c>
      <c r="C106" s="3" t="s">
        <v>17</v>
      </c>
      <c r="D106" s="3" t="s">
        <v>12</v>
      </c>
      <c r="E106" s="4" t="n">
        <v>4</v>
      </c>
      <c r="F106" s="4" t="n">
        <v>300000</v>
      </c>
      <c r="G106" s="4" t="n">
        <f aca="false">E106*F106</f>
        <v>1200000</v>
      </c>
    </row>
    <row r="107" customFormat="false" ht="15" hidden="false" customHeight="false" outlineLevel="0" collapsed="false">
      <c r="A107" s="2" t="n">
        <v>46041</v>
      </c>
      <c r="B107" s="3" t="s">
        <v>14</v>
      </c>
      <c r="C107" s="3" t="s">
        <v>8</v>
      </c>
      <c r="D107" s="3" t="s">
        <v>15</v>
      </c>
      <c r="E107" s="4" t="n">
        <v>35</v>
      </c>
      <c r="F107" s="4" t="n">
        <v>50000</v>
      </c>
      <c r="G107" s="4" t="n">
        <f aca="false">E107*F107</f>
        <v>1750000</v>
      </c>
    </row>
    <row r="108" customFormat="false" ht="15" hidden="false" customHeight="false" outlineLevel="0" collapsed="false">
      <c r="A108" s="2" t="n">
        <v>46042</v>
      </c>
      <c r="B108" s="3" t="s">
        <v>16</v>
      </c>
      <c r="C108" s="3" t="s">
        <v>8</v>
      </c>
      <c r="D108" s="3" t="s">
        <v>9</v>
      </c>
      <c r="E108" s="4" t="n">
        <v>46</v>
      </c>
      <c r="F108" s="4" t="n">
        <v>50000</v>
      </c>
      <c r="G108" s="4" t="n">
        <f aca="false">E108*F108</f>
        <v>2300000</v>
      </c>
    </row>
    <row r="109" customFormat="false" ht="15" hidden="false" customHeight="false" outlineLevel="0" collapsed="false">
      <c r="A109" s="2" t="n">
        <v>46042</v>
      </c>
      <c r="B109" s="3" t="s">
        <v>10</v>
      </c>
      <c r="C109" s="3" t="s">
        <v>13</v>
      </c>
      <c r="D109" s="3" t="s">
        <v>15</v>
      </c>
      <c r="E109" s="4" t="n">
        <v>9</v>
      </c>
      <c r="F109" s="4" t="n">
        <v>150000</v>
      </c>
      <c r="G109" s="4" t="n">
        <f aca="false">E109*F109</f>
        <v>1350000</v>
      </c>
    </row>
    <row r="110" customFormat="false" ht="15" hidden="false" customHeight="false" outlineLevel="0" collapsed="false">
      <c r="A110" s="2" t="n">
        <v>46042</v>
      </c>
      <c r="B110" s="3" t="s">
        <v>11</v>
      </c>
      <c r="C110" s="3" t="s">
        <v>8</v>
      </c>
      <c r="D110" s="3" t="s">
        <v>12</v>
      </c>
      <c r="E110" s="4" t="n">
        <v>24</v>
      </c>
      <c r="F110" s="4" t="n">
        <v>50000</v>
      </c>
      <c r="G110" s="4" t="n">
        <f aca="false">E110*F110</f>
        <v>1200000</v>
      </c>
    </row>
    <row r="111" customFormat="false" ht="15" hidden="false" customHeight="false" outlineLevel="0" collapsed="false">
      <c r="A111" s="2" t="n">
        <v>46042</v>
      </c>
      <c r="B111" s="3" t="s">
        <v>11</v>
      </c>
      <c r="C111" s="3" t="s">
        <v>8</v>
      </c>
      <c r="D111" s="3" t="s">
        <v>12</v>
      </c>
      <c r="E111" s="4" t="n">
        <v>45</v>
      </c>
      <c r="F111" s="4" t="n">
        <v>50000</v>
      </c>
      <c r="G111" s="4" t="n">
        <f aca="false">E111*F111</f>
        <v>2250000</v>
      </c>
    </row>
    <row r="112" customFormat="false" ht="15" hidden="false" customHeight="false" outlineLevel="0" collapsed="false">
      <c r="A112" s="2" t="n">
        <v>46042</v>
      </c>
      <c r="B112" s="3" t="s">
        <v>11</v>
      </c>
      <c r="C112" s="3" t="s">
        <v>8</v>
      </c>
      <c r="D112" s="3" t="s">
        <v>12</v>
      </c>
      <c r="E112" s="4" t="n">
        <v>14</v>
      </c>
      <c r="F112" s="4" t="n">
        <v>50000</v>
      </c>
      <c r="G112" s="4" t="n">
        <f aca="false">E112*F112</f>
        <v>700000</v>
      </c>
    </row>
    <row r="113" customFormat="false" ht="15" hidden="false" customHeight="false" outlineLevel="0" collapsed="false">
      <c r="A113" s="2" t="n">
        <v>46042</v>
      </c>
      <c r="B113" s="3" t="s">
        <v>14</v>
      </c>
      <c r="C113" s="3" t="s">
        <v>8</v>
      </c>
      <c r="D113" s="3" t="s">
        <v>12</v>
      </c>
      <c r="E113" s="4" t="n">
        <v>17</v>
      </c>
      <c r="F113" s="4" t="n">
        <v>50000</v>
      </c>
      <c r="G113" s="4" t="n">
        <f aca="false">E113*F113</f>
        <v>850000</v>
      </c>
    </row>
    <row r="114" customFormat="false" ht="15" hidden="false" customHeight="false" outlineLevel="0" collapsed="false">
      <c r="A114" s="2" t="n">
        <v>46042</v>
      </c>
      <c r="B114" s="3" t="s">
        <v>14</v>
      </c>
      <c r="C114" s="3" t="s">
        <v>8</v>
      </c>
      <c r="D114" s="3" t="s">
        <v>9</v>
      </c>
      <c r="E114" s="4" t="n">
        <v>42</v>
      </c>
      <c r="F114" s="4" t="n">
        <v>50000</v>
      </c>
      <c r="G114" s="4" t="n">
        <f aca="false">E114*F114</f>
        <v>2100000</v>
      </c>
    </row>
    <row r="115" customFormat="false" ht="15" hidden="false" customHeight="false" outlineLevel="0" collapsed="false">
      <c r="A115" s="2" t="n">
        <v>46042</v>
      </c>
      <c r="B115" s="3" t="s">
        <v>14</v>
      </c>
      <c r="C115" s="3" t="s">
        <v>17</v>
      </c>
      <c r="D115" s="3" t="s">
        <v>12</v>
      </c>
      <c r="E115" s="4" t="n">
        <v>2</v>
      </c>
      <c r="F115" s="4" t="n">
        <v>300000</v>
      </c>
      <c r="G115" s="4" t="n">
        <f aca="false">E115*F115</f>
        <v>600000</v>
      </c>
    </row>
    <row r="116" customFormat="false" ht="15" hidden="false" customHeight="false" outlineLevel="0" collapsed="false">
      <c r="A116" s="2" t="n">
        <v>46043</v>
      </c>
      <c r="B116" s="3" t="s">
        <v>16</v>
      </c>
      <c r="C116" s="3" t="s">
        <v>8</v>
      </c>
      <c r="D116" s="3" t="s">
        <v>9</v>
      </c>
      <c r="E116" s="4" t="n">
        <v>9</v>
      </c>
      <c r="F116" s="4" t="n">
        <v>50000</v>
      </c>
      <c r="G116" s="4" t="n">
        <f aca="false">E116*F116</f>
        <v>450000</v>
      </c>
    </row>
    <row r="117" customFormat="false" ht="15" hidden="false" customHeight="false" outlineLevel="0" collapsed="false">
      <c r="A117" s="2" t="n">
        <v>46043</v>
      </c>
      <c r="B117" s="3" t="s">
        <v>7</v>
      </c>
      <c r="C117" s="3" t="s">
        <v>8</v>
      </c>
      <c r="D117" s="3" t="s">
        <v>15</v>
      </c>
      <c r="E117" s="4" t="n">
        <v>44</v>
      </c>
      <c r="F117" s="4" t="n">
        <v>50000</v>
      </c>
      <c r="G117" s="4" t="n">
        <f aca="false">E117*F117</f>
        <v>2200000</v>
      </c>
    </row>
    <row r="118" customFormat="false" ht="15" hidden="false" customHeight="false" outlineLevel="0" collapsed="false">
      <c r="A118" s="2" t="n">
        <v>46043</v>
      </c>
      <c r="B118" s="3" t="s">
        <v>7</v>
      </c>
      <c r="C118" s="3" t="s">
        <v>13</v>
      </c>
      <c r="D118" s="3" t="s">
        <v>9</v>
      </c>
      <c r="E118" s="4" t="n">
        <v>12</v>
      </c>
      <c r="F118" s="4" t="n">
        <v>150000</v>
      </c>
      <c r="G118" s="4" t="n">
        <f aca="false">E118*F118</f>
        <v>1800000</v>
      </c>
    </row>
    <row r="119" customFormat="false" ht="15" hidden="false" customHeight="false" outlineLevel="0" collapsed="false">
      <c r="A119" s="2" t="n">
        <v>46043</v>
      </c>
      <c r="B119" s="3" t="s">
        <v>10</v>
      </c>
      <c r="C119" s="3" t="s">
        <v>8</v>
      </c>
      <c r="D119" s="3" t="s">
        <v>15</v>
      </c>
      <c r="E119" s="4" t="n">
        <v>31</v>
      </c>
      <c r="F119" s="4" t="n">
        <v>50000</v>
      </c>
      <c r="G119" s="4" t="n">
        <f aca="false">E119*F119</f>
        <v>1550000</v>
      </c>
    </row>
    <row r="120" customFormat="false" ht="15" hidden="false" customHeight="false" outlineLevel="0" collapsed="false">
      <c r="A120" s="2" t="n">
        <v>46043</v>
      </c>
      <c r="B120" s="3" t="s">
        <v>10</v>
      </c>
      <c r="C120" s="3" t="s">
        <v>8</v>
      </c>
      <c r="D120" s="3" t="s">
        <v>12</v>
      </c>
      <c r="E120" s="4" t="n">
        <v>33</v>
      </c>
      <c r="F120" s="4" t="n">
        <v>50000</v>
      </c>
      <c r="G120" s="4" t="n">
        <f aca="false">E120*F120</f>
        <v>1650000</v>
      </c>
    </row>
    <row r="121" customFormat="false" ht="15" hidden="false" customHeight="false" outlineLevel="0" collapsed="false">
      <c r="A121" s="2" t="n">
        <v>46043</v>
      </c>
      <c r="B121" s="3" t="s">
        <v>10</v>
      </c>
      <c r="C121" s="3" t="s">
        <v>8</v>
      </c>
      <c r="D121" s="3" t="s">
        <v>15</v>
      </c>
      <c r="E121" s="4" t="n">
        <v>38</v>
      </c>
      <c r="F121" s="4" t="n">
        <v>50000</v>
      </c>
      <c r="G121" s="4" t="n">
        <f aca="false">E121*F121</f>
        <v>1900000</v>
      </c>
    </row>
    <row r="122" customFormat="false" ht="15" hidden="false" customHeight="false" outlineLevel="0" collapsed="false">
      <c r="A122" s="2" t="n">
        <v>46043</v>
      </c>
      <c r="B122" s="3" t="s">
        <v>10</v>
      </c>
      <c r="C122" s="3" t="s">
        <v>8</v>
      </c>
      <c r="D122" s="3" t="s">
        <v>15</v>
      </c>
      <c r="E122" s="4" t="n">
        <v>33</v>
      </c>
      <c r="F122" s="4" t="n">
        <v>50000</v>
      </c>
      <c r="G122" s="4" t="n">
        <f aca="false">E122*F122</f>
        <v>1650000</v>
      </c>
    </row>
    <row r="123" customFormat="false" ht="15" hidden="false" customHeight="false" outlineLevel="0" collapsed="false">
      <c r="A123" s="2" t="n">
        <v>46044</v>
      </c>
      <c r="B123" s="3" t="s">
        <v>7</v>
      </c>
      <c r="C123" s="3" t="s">
        <v>13</v>
      </c>
      <c r="D123" s="3" t="s">
        <v>15</v>
      </c>
      <c r="E123" s="4" t="n">
        <v>5</v>
      </c>
      <c r="F123" s="4" t="n">
        <v>150000</v>
      </c>
      <c r="G123" s="4" t="n">
        <f aca="false">E123*F123</f>
        <v>750000</v>
      </c>
    </row>
    <row r="124" customFormat="false" ht="15" hidden="false" customHeight="false" outlineLevel="0" collapsed="false">
      <c r="A124" s="2" t="n">
        <v>46044</v>
      </c>
      <c r="B124" s="3" t="s">
        <v>10</v>
      </c>
      <c r="C124" s="3" t="s">
        <v>8</v>
      </c>
      <c r="D124" s="3" t="s">
        <v>9</v>
      </c>
      <c r="E124" s="4" t="n">
        <v>15</v>
      </c>
      <c r="F124" s="4" t="n">
        <v>50000</v>
      </c>
      <c r="G124" s="4" t="n">
        <f aca="false">E124*F124</f>
        <v>750000</v>
      </c>
    </row>
    <row r="125" customFormat="false" ht="15" hidden="false" customHeight="false" outlineLevel="0" collapsed="false">
      <c r="A125" s="2" t="n">
        <v>46044</v>
      </c>
      <c r="B125" s="3" t="s">
        <v>10</v>
      </c>
      <c r="C125" s="3" t="s">
        <v>8</v>
      </c>
      <c r="D125" s="3" t="s">
        <v>12</v>
      </c>
      <c r="E125" s="4" t="n">
        <v>13</v>
      </c>
      <c r="F125" s="4" t="n">
        <v>50000</v>
      </c>
      <c r="G125" s="4" t="n">
        <f aca="false">E125*F125</f>
        <v>650000</v>
      </c>
    </row>
    <row r="126" customFormat="false" ht="15" hidden="false" customHeight="false" outlineLevel="0" collapsed="false">
      <c r="A126" s="2" t="n">
        <v>46044</v>
      </c>
      <c r="B126" s="3" t="s">
        <v>10</v>
      </c>
      <c r="C126" s="3" t="s">
        <v>8</v>
      </c>
      <c r="D126" s="3" t="s">
        <v>12</v>
      </c>
      <c r="E126" s="4" t="n">
        <v>15</v>
      </c>
      <c r="F126" s="4" t="n">
        <v>50000</v>
      </c>
      <c r="G126" s="4" t="n">
        <f aca="false">E126*F126</f>
        <v>750000</v>
      </c>
    </row>
    <row r="127" customFormat="false" ht="15" hidden="false" customHeight="false" outlineLevel="0" collapsed="false">
      <c r="A127" s="2" t="n">
        <v>46044</v>
      </c>
      <c r="B127" s="3" t="s">
        <v>10</v>
      </c>
      <c r="C127" s="3" t="s">
        <v>8</v>
      </c>
      <c r="D127" s="3" t="s">
        <v>15</v>
      </c>
      <c r="E127" s="4" t="n">
        <v>17</v>
      </c>
      <c r="F127" s="4" t="n">
        <v>50000</v>
      </c>
      <c r="G127" s="4" t="n">
        <f aca="false">E127*F127</f>
        <v>850000</v>
      </c>
    </row>
    <row r="128" customFormat="false" ht="15" hidden="false" customHeight="false" outlineLevel="0" collapsed="false">
      <c r="A128" s="2" t="n">
        <v>46044</v>
      </c>
      <c r="B128" s="3" t="s">
        <v>10</v>
      </c>
      <c r="C128" s="3" t="s">
        <v>13</v>
      </c>
      <c r="D128" s="3" t="s">
        <v>12</v>
      </c>
      <c r="E128" s="4" t="n">
        <v>8</v>
      </c>
      <c r="F128" s="4" t="n">
        <v>150000</v>
      </c>
      <c r="G128" s="4" t="n">
        <f aca="false">E128*F128</f>
        <v>1200000</v>
      </c>
    </row>
    <row r="129" customFormat="false" ht="15" hidden="false" customHeight="false" outlineLevel="0" collapsed="false">
      <c r="A129" s="2" t="n">
        <v>46044</v>
      </c>
      <c r="B129" s="3" t="s">
        <v>11</v>
      </c>
      <c r="C129" s="3" t="s">
        <v>8</v>
      </c>
      <c r="D129" s="3" t="s">
        <v>9</v>
      </c>
      <c r="E129" s="4" t="n">
        <v>8</v>
      </c>
      <c r="F129" s="4" t="n">
        <v>50000</v>
      </c>
      <c r="G129" s="4" t="n">
        <f aca="false">E129*F129</f>
        <v>400000</v>
      </c>
    </row>
    <row r="130" customFormat="false" ht="15" hidden="false" customHeight="false" outlineLevel="0" collapsed="false">
      <c r="A130" s="2" t="n">
        <v>46044</v>
      </c>
      <c r="B130" s="3" t="s">
        <v>11</v>
      </c>
      <c r="C130" s="3" t="s">
        <v>8</v>
      </c>
      <c r="D130" s="3" t="s">
        <v>12</v>
      </c>
      <c r="E130" s="4" t="n">
        <v>35</v>
      </c>
      <c r="F130" s="4" t="n">
        <v>50000</v>
      </c>
      <c r="G130" s="4" t="n">
        <f aca="false">E130*F130</f>
        <v>1750000</v>
      </c>
    </row>
    <row r="131" customFormat="false" ht="15" hidden="false" customHeight="false" outlineLevel="0" collapsed="false">
      <c r="A131" s="2" t="n">
        <v>46044</v>
      </c>
      <c r="B131" s="3" t="s">
        <v>11</v>
      </c>
      <c r="C131" s="3" t="s">
        <v>13</v>
      </c>
      <c r="D131" s="3" t="s">
        <v>12</v>
      </c>
      <c r="E131" s="4" t="n">
        <v>7</v>
      </c>
      <c r="F131" s="4" t="n">
        <v>150000</v>
      </c>
      <c r="G131" s="4" t="n">
        <f aca="false">E131*F131</f>
        <v>1050000</v>
      </c>
    </row>
    <row r="132" customFormat="false" ht="15" hidden="false" customHeight="false" outlineLevel="0" collapsed="false">
      <c r="A132" s="2" t="n">
        <v>46044</v>
      </c>
      <c r="B132" s="3" t="s">
        <v>11</v>
      </c>
      <c r="C132" s="3" t="s">
        <v>17</v>
      </c>
      <c r="D132" s="3" t="s">
        <v>9</v>
      </c>
      <c r="E132" s="4" t="n">
        <v>4</v>
      </c>
      <c r="F132" s="4" t="n">
        <v>300000</v>
      </c>
      <c r="G132" s="4" t="n">
        <f aca="false">E132*F132</f>
        <v>1200000</v>
      </c>
    </row>
    <row r="133" customFormat="false" ht="15" hidden="false" customHeight="false" outlineLevel="0" collapsed="false">
      <c r="A133" s="2" t="n">
        <v>46045</v>
      </c>
      <c r="B133" s="3" t="s">
        <v>16</v>
      </c>
      <c r="C133" s="3" t="s">
        <v>8</v>
      </c>
      <c r="D133" s="3" t="s">
        <v>15</v>
      </c>
      <c r="E133" s="4" t="n">
        <v>22</v>
      </c>
      <c r="F133" s="4" t="n">
        <v>50000</v>
      </c>
      <c r="G133" s="4" t="n">
        <f aca="false">E133*F133</f>
        <v>1100000</v>
      </c>
    </row>
    <row r="134" customFormat="false" ht="15" hidden="false" customHeight="false" outlineLevel="0" collapsed="false">
      <c r="A134" s="2" t="n">
        <v>46045</v>
      </c>
      <c r="B134" s="3" t="s">
        <v>10</v>
      </c>
      <c r="C134" s="3" t="s">
        <v>8</v>
      </c>
      <c r="D134" s="3" t="s">
        <v>15</v>
      </c>
      <c r="E134" s="4" t="n">
        <v>26</v>
      </c>
      <c r="F134" s="4" t="n">
        <v>50000</v>
      </c>
      <c r="G134" s="4" t="n">
        <f aca="false">E134*F134</f>
        <v>1300000</v>
      </c>
    </row>
    <row r="135" customFormat="false" ht="15" hidden="false" customHeight="false" outlineLevel="0" collapsed="false">
      <c r="A135" s="2" t="n">
        <v>46045</v>
      </c>
      <c r="B135" s="3" t="s">
        <v>10</v>
      </c>
      <c r="C135" s="3" t="s">
        <v>8</v>
      </c>
      <c r="D135" s="3" t="s">
        <v>15</v>
      </c>
      <c r="E135" s="4" t="n">
        <v>16</v>
      </c>
      <c r="F135" s="4" t="n">
        <v>50000</v>
      </c>
      <c r="G135" s="4" t="n">
        <f aca="false">E135*F135</f>
        <v>800000</v>
      </c>
    </row>
    <row r="136" customFormat="false" ht="15" hidden="false" customHeight="false" outlineLevel="0" collapsed="false">
      <c r="A136" s="2" t="n">
        <v>46045</v>
      </c>
      <c r="B136" s="3" t="s">
        <v>10</v>
      </c>
      <c r="C136" s="3" t="s">
        <v>8</v>
      </c>
      <c r="D136" s="3" t="s">
        <v>15</v>
      </c>
      <c r="E136" s="4" t="n">
        <v>11</v>
      </c>
      <c r="F136" s="4" t="n">
        <v>50000</v>
      </c>
      <c r="G136" s="4" t="n">
        <f aca="false">E136*F136</f>
        <v>550000</v>
      </c>
    </row>
    <row r="137" customFormat="false" ht="15" hidden="false" customHeight="false" outlineLevel="0" collapsed="false">
      <c r="A137" s="2" t="n">
        <v>46045</v>
      </c>
      <c r="B137" s="3" t="s">
        <v>10</v>
      </c>
      <c r="C137" s="3" t="s">
        <v>17</v>
      </c>
      <c r="D137" s="3" t="s">
        <v>12</v>
      </c>
      <c r="E137" s="4" t="n">
        <v>2</v>
      </c>
      <c r="F137" s="4" t="n">
        <v>300000</v>
      </c>
      <c r="G137" s="4" t="n">
        <f aca="false">E137*F137</f>
        <v>600000</v>
      </c>
    </row>
    <row r="138" customFormat="false" ht="15" hidden="false" customHeight="false" outlineLevel="0" collapsed="false">
      <c r="A138" s="2" t="n">
        <v>46045</v>
      </c>
      <c r="B138" s="3" t="s">
        <v>11</v>
      </c>
      <c r="C138" s="3" t="s">
        <v>8</v>
      </c>
      <c r="D138" s="3" t="s">
        <v>9</v>
      </c>
      <c r="E138" s="4" t="n">
        <v>43</v>
      </c>
      <c r="F138" s="4" t="n">
        <v>50000</v>
      </c>
      <c r="G138" s="4" t="n">
        <f aca="false">E138*F138</f>
        <v>2150000</v>
      </c>
    </row>
    <row r="139" customFormat="false" ht="15" hidden="false" customHeight="false" outlineLevel="0" collapsed="false">
      <c r="A139" s="2" t="n">
        <v>46045</v>
      </c>
      <c r="B139" s="3" t="s">
        <v>11</v>
      </c>
      <c r="C139" s="3" t="s">
        <v>13</v>
      </c>
      <c r="D139" s="3" t="s">
        <v>12</v>
      </c>
      <c r="E139" s="4" t="n">
        <v>6</v>
      </c>
      <c r="F139" s="4" t="n">
        <v>150000</v>
      </c>
      <c r="G139" s="4" t="n">
        <f aca="false">E139*F139</f>
        <v>900000</v>
      </c>
    </row>
    <row r="140" customFormat="false" ht="15" hidden="false" customHeight="false" outlineLevel="0" collapsed="false">
      <c r="A140" s="2" t="n">
        <v>46045</v>
      </c>
      <c r="B140" s="3" t="s">
        <v>14</v>
      </c>
      <c r="C140" s="3" t="s">
        <v>13</v>
      </c>
      <c r="D140" s="3" t="s">
        <v>15</v>
      </c>
      <c r="E140" s="4" t="n">
        <v>10</v>
      </c>
      <c r="F140" s="4" t="n">
        <v>150000</v>
      </c>
      <c r="G140" s="4" t="n">
        <f aca="false">E140*F140</f>
        <v>1500000</v>
      </c>
    </row>
    <row r="141" customFormat="false" ht="15" hidden="false" customHeight="false" outlineLevel="0" collapsed="false">
      <c r="A141" s="2" t="n">
        <v>46048</v>
      </c>
      <c r="B141" s="3" t="s">
        <v>16</v>
      </c>
      <c r="C141" s="3" t="s">
        <v>8</v>
      </c>
      <c r="D141" s="3" t="s">
        <v>15</v>
      </c>
      <c r="E141" s="4" t="n">
        <v>14</v>
      </c>
      <c r="F141" s="4" t="n">
        <v>50000</v>
      </c>
      <c r="G141" s="4" t="n">
        <f aca="false">E141*F141</f>
        <v>700000</v>
      </c>
    </row>
    <row r="142" customFormat="false" ht="15" hidden="false" customHeight="false" outlineLevel="0" collapsed="false">
      <c r="A142" s="2" t="n">
        <v>46048</v>
      </c>
      <c r="B142" s="3" t="s">
        <v>7</v>
      </c>
      <c r="C142" s="3" t="s">
        <v>8</v>
      </c>
      <c r="D142" s="3" t="s">
        <v>12</v>
      </c>
      <c r="E142" s="4" t="n">
        <v>31</v>
      </c>
      <c r="F142" s="4" t="n">
        <v>50000</v>
      </c>
      <c r="G142" s="4" t="n">
        <f aca="false">E142*F142</f>
        <v>1550000</v>
      </c>
    </row>
    <row r="143" customFormat="false" ht="15" hidden="false" customHeight="false" outlineLevel="0" collapsed="false">
      <c r="A143" s="2" t="n">
        <v>46048</v>
      </c>
      <c r="B143" s="3" t="s">
        <v>10</v>
      </c>
      <c r="C143" s="3" t="s">
        <v>8</v>
      </c>
      <c r="D143" s="3" t="s">
        <v>9</v>
      </c>
      <c r="E143" s="4" t="n">
        <v>29</v>
      </c>
      <c r="F143" s="4" t="n">
        <v>50000</v>
      </c>
      <c r="G143" s="4" t="n">
        <f aca="false">E143*F143</f>
        <v>1450000</v>
      </c>
    </row>
    <row r="144" customFormat="false" ht="15" hidden="false" customHeight="false" outlineLevel="0" collapsed="false">
      <c r="A144" s="2" t="n">
        <v>46048</v>
      </c>
      <c r="B144" s="3" t="s">
        <v>10</v>
      </c>
      <c r="C144" s="3" t="s">
        <v>17</v>
      </c>
      <c r="D144" s="3" t="s">
        <v>12</v>
      </c>
      <c r="E144" s="4" t="n">
        <v>3</v>
      </c>
      <c r="F144" s="4" t="n">
        <v>300000</v>
      </c>
      <c r="G144" s="4" t="n">
        <f aca="false">E144*F144</f>
        <v>900000</v>
      </c>
    </row>
    <row r="145" customFormat="false" ht="15" hidden="false" customHeight="false" outlineLevel="0" collapsed="false">
      <c r="A145" s="2" t="n">
        <v>46048</v>
      </c>
      <c r="B145" s="3" t="s">
        <v>11</v>
      </c>
      <c r="C145" s="3" t="s">
        <v>8</v>
      </c>
      <c r="D145" s="3" t="s">
        <v>15</v>
      </c>
      <c r="E145" s="4" t="n">
        <v>39</v>
      </c>
      <c r="F145" s="4" t="n">
        <v>50000</v>
      </c>
      <c r="G145" s="4" t="n">
        <f aca="false">E145*F145</f>
        <v>1950000</v>
      </c>
    </row>
    <row r="146" customFormat="false" ht="15" hidden="false" customHeight="false" outlineLevel="0" collapsed="false">
      <c r="A146" s="2" t="n">
        <v>46048</v>
      </c>
      <c r="B146" s="3" t="s">
        <v>11</v>
      </c>
      <c r="C146" s="3" t="s">
        <v>8</v>
      </c>
      <c r="D146" s="3" t="s">
        <v>9</v>
      </c>
      <c r="E146" s="4" t="n">
        <v>44</v>
      </c>
      <c r="F146" s="4" t="n">
        <v>50000</v>
      </c>
      <c r="G146" s="4" t="n">
        <f aca="false">E146*F146</f>
        <v>2200000</v>
      </c>
    </row>
    <row r="147" customFormat="false" ht="15" hidden="false" customHeight="false" outlineLevel="0" collapsed="false">
      <c r="A147" s="2" t="n">
        <v>46048</v>
      </c>
      <c r="B147" s="3" t="s">
        <v>11</v>
      </c>
      <c r="C147" s="3" t="s">
        <v>13</v>
      </c>
      <c r="D147" s="3" t="s">
        <v>15</v>
      </c>
      <c r="E147" s="4" t="n">
        <v>8</v>
      </c>
      <c r="F147" s="4" t="n">
        <v>150000</v>
      </c>
      <c r="G147" s="4" t="n">
        <f aca="false">E147*F147</f>
        <v>1200000</v>
      </c>
    </row>
    <row r="148" customFormat="false" ht="15" hidden="false" customHeight="false" outlineLevel="0" collapsed="false">
      <c r="A148" s="2" t="n">
        <v>46048</v>
      </c>
      <c r="B148" s="3" t="s">
        <v>14</v>
      </c>
      <c r="C148" s="3" t="s">
        <v>8</v>
      </c>
      <c r="D148" s="3" t="s">
        <v>12</v>
      </c>
      <c r="E148" s="4" t="n">
        <v>41</v>
      </c>
      <c r="F148" s="4" t="n">
        <v>50000</v>
      </c>
      <c r="G148" s="4" t="n">
        <f aca="false">E148*F148</f>
        <v>2050000</v>
      </c>
    </row>
    <row r="149" customFormat="false" ht="15" hidden="false" customHeight="false" outlineLevel="0" collapsed="false">
      <c r="A149" s="2" t="n">
        <v>46049</v>
      </c>
      <c r="B149" s="3" t="s">
        <v>16</v>
      </c>
      <c r="C149" s="3" t="s">
        <v>8</v>
      </c>
      <c r="D149" s="3" t="s">
        <v>12</v>
      </c>
      <c r="E149" s="4" t="n">
        <v>44</v>
      </c>
      <c r="F149" s="4" t="n">
        <v>50000</v>
      </c>
      <c r="G149" s="4" t="n">
        <f aca="false">E149*F149</f>
        <v>2200000</v>
      </c>
    </row>
    <row r="150" customFormat="false" ht="15" hidden="false" customHeight="false" outlineLevel="0" collapsed="false">
      <c r="A150" s="2" t="n">
        <v>46049</v>
      </c>
      <c r="B150" s="3" t="s">
        <v>16</v>
      </c>
      <c r="C150" s="3" t="s">
        <v>13</v>
      </c>
      <c r="D150" s="3" t="s">
        <v>12</v>
      </c>
      <c r="E150" s="4" t="n">
        <v>3</v>
      </c>
      <c r="F150" s="4" t="n">
        <v>150000</v>
      </c>
      <c r="G150" s="4" t="n">
        <f aca="false">E150*F150</f>
        <v>450000</v>
      </c>
    </row>
    <row r="151" customFormat="false" ht="15" hidden="false" customHeight="false" outlineLevel="0" collapsed="false">
      <c r="A151" s="2" t="n">
        <v>46049</v>
      </c>
      <c r="B151" s="3" t="s">
        <v>7</v>
      </c>
      <c r="C151" s="3" t="s">
        <v>8</v>
      </c>
      <c r="D151" s="3" t="s">
        <v>12</v>
      </c>
      <c r="E151" s="4" t="n">
        <v>19</v>
      </c>
      <c r="F151" s="4" t="n">
        <v>50000</v>
      </c>
      <c r="G151" s="4" t="n">
        <f aca="false">E151*F151</f>
        <v>950000</v>
      </c>
    </row>
    <row r="152" customFormat="false" ht="15" hidden="false" customHeight="false" outlineLevel="0" collapsed="false">
      <c r="A152" s="2" t="n">
        <v>46049</v>
      </c>
      <c r="B152" s="3" t="s">
        <v>10</v>
      </c>
      <c r="C152" s="3" t="s">
        <v>8</v>
      </c>
      <c r="D152" s="3" t="s">
        <v>12</v>
      </c>
      <c r="E152" s="4" t="n">
        <v>26</v>
      </c>
      <c r="F152" s="4" t="n">
        <v>50000</v>
      </c>
      <c r="G152" s="4" t="n">
        <f aca="false">E152*F152</f>
        <v>1300000</v>
      </c>
    </row>
    <row r="153" customFormat="false" ht="15" hidden="false" customHeight="false" outlineLevel="0" collapsed="false">
      <c r="A153" s="2" t="n">
        <v>46049</v>
      </c>
      <c r="B153" s="3" t="s">
        <v>11</v>
      </c>
      <c r="C153" s="3" t="s">
        <v>8</v>
      </c>
      <c r="D153" s="3" t="s">
        <v>9</v>
      </c>
      <c r="E153" s="4" t="n">
        <v>24</v>
      </c>
      <c r="F153" s="4" t="n">
        <v>50000</v>
      </c>
      <c r="G153" s="4" t="n">
        <f aca="false">E153*F153</f>
        <v>1200000</v>
      </c>
    </row>
    <row r="154" customFormat="false" ht="15" hidden="false" customHeight="false" outlineLevel="0" collapsed="false">
      <c r="A154" s="2" t="n">
        <v>46049</v>
      </c>
      <c r="B154" s="3" t="s">
        <v>11</v>
      </c>
      <c r="C154" s="3" t="s">
        <v>13</v>
      </c>
      <c r="D154" s="3" t="s">
        <v>12</v>
      </c>
      <c r="E154" s="4" t="n">
        <v>10</v>
      </c>
      <c r="F154" s="4" t="n">
        <v>150000</v>
      </c>
      <c r="G154" s="4" t="n">
        <f aca="false">E154*F154</f>
        <v>1500000</v>
      </c>
    </row>
    <row r="155" customFormat="false" ht="15" hidden="false" customHeight="false" outlineLevel="0" collapsed="false">
      <c r="A155" s="2" t="n">
        <v>46049</v>
      </c>
      <c r="B155" s="3" t="s">
        <v>14</v>
      </c>
      <c r="C155" s="3" t="s">
        <v>8</v>
      </c>
      <c r="D155" s="3" t="s">
        <v>15</v>
      </c>
      <c r="E155" s="4" t="n">
        <v>42</v>
      </c>
      <c r="F155" s="4" t="n">
        <v>50000</v>
      </c>
      <c r="G155" s="4" t="n">
        <f aca="false">E155*F155</f>
        <v>2100000</v>
      </c>
    </row>
    <row r="156" customFormat="false" ht="15" hidden="false" customHeight="false" outlineLevel="0" collapsed="false">
      <c r="A156" s="2" t="n">
        <v>46050</v>
      </c>
      <c r="B156" s="3" t="s">
        <v>7</v>
      </c>
      <c r="C156" s="3" t="s">
        <v>8</v>
      </c>
      <c r="D156" s="3" t="s">
        <v>12</v>
      </c>
      <c r="E156" s="4" t="n">
        <v>39</v>
      </c>
      <c r="F156" s="4" t="n">
        <v>50000</v>
      </c>
      <c r="G156" s="4" t="n">
        <f aca="false">E156*F156</f>
        <v>1950000</v>
      </c>
    </row>
    <row r="157" customFormat="false" ht="15" hidden="false" customHeight="false" outlineLevel="0" collapsed="false">
      <c r="A157" s="2" t="n">
        <v>46050</v>
      </c>
      <c r="B157" s="3" t="s">
        <v>10</v>
      </c>
      <c r="C157" s="3" t="s">
        <v>8</v>
      </c>
      <c r="D157" s="3" t="s">
        <v>12</v>
      </c>
      <c r="E157" s="4" t="n">
        <v>7</v>
      </c>
      <c r="F157" s="4" t="n">
        <v>50000</v>
      </c>
      <c r="G157" s="4" t="n">
        <f aca="false">E157*F157</f>
        <v>350000</v>
      </c>
    </row>
    <row r="158" customFormat="false" ht="15" hidden="false" customHeight="false" outlineLevel="0" collapsed="false">
      <c r="A158" s="2" t="n">
        <v>46050</v>
      </c>
      <c r="B158" s="3" t="s">
        <v>11</v>
      </c>
      <c r="C158" s="3" t="s">
        <v>8</v>
      </c>
      <c r="D158" s="3" t="s">
        <v>12</v>
      </c>
      <c r="E158" s="4" t="n">
        <v>43</v>
      </c>
      <c r="F158" s="4" t="n">
        <v>50000</v>
      </c>
      <c r="G158" s="4" t="n">
        <f aca="false">E158*F158</f>
        <v>2150000</v>
      </c>
    </row>
    <row r="159" customFormat="false" ht="15" hidden="false" customHeight="false" outlineLevel="0" collapsed="false">
      <c r="A159" s="2" t="n">
        <v>46050</v>
      </c>
      <c r="B159" s="3" t="s">
        <v>11</v>
      </c>
      <c r="C159" s="3" t="s">
        <v>8</v>
      </c>
      <c r="D159" s="3" t="s">
        <v>12</v>
      </c>
      <c r="E159" s="4" t="n">
        <v>24</v>
      </c>
      <c r="F159" s="4" t="n">
        <v>50000</v>
      </c>
      <c r="G159" s="4" t="n">
        <f aca="false">E159*F159</f>
        <v>1200000</v>
      </c>
    </row>
    <row r="160" customFormat="false" ht="15" hidden="false" customHeight="false" outlineLevel="0" collapsed="false">
      <c r="A160" s="2" t="n">
        <v>46050</v>
      </c>
      <c r="B160" s="3" t="s">
        <v>11</v>
      </c>
      <c r="C160" s="3" t="s">
        <v>13</v>
      </c>
      <c r="D160" s="3" t="s">
        <v>12</v>
      </c>
      <c r="E160" s="4" t="n">
        <v>14</v>
      </c>
      <c r="F160" s="4" t="n">
        <v>150000</v>
      </c>
      <c r="G160" s="4" t="n">
        <f aca="false">E160*F160</f>
        <v>2100000</v>
      </c>
    </row>
    <row r="161" customFormat="false" ht="15" hidden="false" customHeight="false" outlineLevel="0" collapsed="false">
      <c r="A161" s="2" t="n">
        <v>46050</v>
      </c>
      <c r="B161" s="3" t="s">
        <v>11</v>
      </c>
      <c r="C161" s="3" t="s">
        <v>13</v>
      </c>
      <c r="D161" s="3" t="s">
        <v>9</v>
      </c>
      <c r="E161" s="4" t="n">
        <v>14</v>
      </c>
      <c r="F161" s="4" t="n">
        <v>150000</v>
      </c>
      <c r="G161" s="4" t="n">
        <f aca="false">E161*F161</f>
        <v>2100000</v>
      </c>
    </row>
    <row r="162" customFormat="false" ht="15" hidden="false" customHeight="false" outlineLevel="0" collapsed="false">
      <c r="A162" s="2" t="n">
        <v>46050</v>
      </c>
      <c r="B162" s="3" t="s">
        <v>14</v>
      </c>
      <c r="C162" s="3" t="s">
        <v>8</v>
      </c>
      <c r="D162" s="3" t="s">
        <v>12</v>
      </c>
      <c r="E162" s="4" t="n">
        <v>22</v>
      </c>
      <c r="F162" s="4" t="n">
        <v>50000</v>
      </c>
      <c r="G162" s="4" t="n">
        <f aca="false">E162*F162</f>
        <v>1100000</v>
      </c>
    </row>
    <row r="163" customFormat="false" ht="15" hidden="false" customHeight="false" outlineLevel="0" collapsed="false">
      <c r="A163" s="2" t="n">
        <v>46050</v>
      </c>
      <c r="B163" s="3" t="s">
        <v>14</v>
      </c>
      <c r="C163" s="3" t="s">
        <v>8</v>
      </c>
      <c r="D163" s="3" t="s">
        <v>9</v>
      </c>
      <c r="E163" s="4" t="n">
        <v>8</v>
      </c>
      <c r="F163" s="4" t="n">
        <v>50000</v>
      </c>
      <c r="G163" s="4" t="n">
        <f aca="false">E163*F163</f>
        <v>400000</v>
      </c>
    </row>
    <row r="164" customFormat="false" ht="15" hidden="false" customHeight="false" outlineLevel="0" collapsed="false">
      <c r="A164" s="2" t="n">
        <v>46051</v>
      </c>
      <c r="B164" s="3" t="s">
        <v>7</v>
      </c>
      <c r="C164" s="3" t="s">
        <v>8</v>
      </c>
      <c r="D164" s="3" t="s">
        <v>15</v>
      </c>
      <c r="E164" s="4" t="n">
        <v>24</v>
      </c>
      <c r="F164" s="4" t="n">
        <v>50000</v>
      </c>
      <c r="G164" s="4" t="n">
        <f aca="false">E164*F164</f>
        <v>1200000</v>
      </c>
    </row>
    <row r="165" customFormat="false" ht="15" hidden="false" customHeight="false" outlineLevel="0" collapsed="false">
      <c r="A165" s="2" t="n">
        <v>46051</v>
      </c>
      <c r="B165" s="3" t="s">
        <v>7</v>
      </c>
      <c r="C165" s="3" t="s">
        <v>8</v>
      </c>
      <c r="D165" s="3" t="s">
        <v>12</v>
      </c>
      <c r="E165" s="4" t="n">
        <v>19</v>
      </c>
      <c r="F165" s="4" t="n">
        <v>50000</v>
      </c>
      <c r="G165" s="4" t="n">
        <f aca="false">E165*F165</f>
        <v>950000</v>
      </c>
    </row>
    <row r="166" customFormat="false" ht="15" hidden="false" customHeight="false" outlineLevel="0" collapsed="false">
      <c r="A166" s="2" t="n">
        <v>46051</v>
      </c>
      <c r="B166" s="3" t="s">
        <v>7</v>
      </c>
      <c r="C166" s="3" t="s">
        <v>8</v>
      </c>
      <c r="D166" s="3" t="s">
        <v>9</v>
      </c>
      <c r="E166" s="4" t="n">
        <v>36</v>
      </c>
      <c r="F166" s="4" t="n">
        <v>50000</v>
      </c>
      <c r="G166" s="4" t="n">
        <f aca="false">E166*F166</f>
        <v>1800000</v>
      </c>
    </row>
    <row r="167" customFormat="false" ht="15" hidden="false" customHeight="false" outlineLevel="0" collapsed="false">
      <c r="A167" s="2" t="n">
        <v>46051</v>
      </c>
      <c r="B167" s="3" t="s">
        <v>7</v>
      </c>
      <c r="C167" s="3" t="s">
        <v>8</v>
      </c>
      <c r="D167" s="3" t="s">
        <v>9</v>
      </c>
      <c r="E167" s="4" t="n">
        <v>11</v>
      </c>
      <c r="F167" s="4" t="n">
        <v>50000</v>
      </c>
      <c r="G167" s="4" t="n">
        <f aca="false">E167*F167</f>
        <v>550000</v>
      </c>
    </row>
    <row r="168" customFormat="false" ht="15" hidden="false" customHeight="false" outlineLevel="0" collapsed="false">
      <c r="A168" s="2" t="n">
        <v>46051</v>
      </c>
      <c r="B168" s="3" t="s">
        <v>10</v>
      </c>
      <c r="C168" s="3" t="s">
        <v>8</v>
      </c>
      <c r="D168" s="3" t="s">
        <v>15</v>
      </c>
      <c r="E168" s="4" t="n">
        <v>16</v>
      </c>
      <c r="F168" s="4" t="n">
        <v>50000</v>
      </c>
      <c r="G168" s="4" t="n">
        <f aca="false">E168*F168</f>
        <v>800000</v>
      </c>
    </row>
    <row r="169" customFormat="false" ht="15" hidden="false" customHeight="false" outlineLevel="0" collapsed="false">
      <c r="A169" s="2" t="n">
        <v>46051</v>
      </c>
      <c r="B169" s="3" t="s">
        <v>10</v>
      </c>
      <c r="C169" s="3" t="s">
        <v>8</v>
      </c>
      <c r="D169" s="3" t="s">
        <v>12</v>
      </c>
      <c r="E169" s="4" t="n">
        <v>42</v>
      </c>
      <c r="F169" s="4" t="n">
        <v>50000</v>
      </c>
      <c r="G169" s="4" t="n">
        <f aca="false">E169*F169</f>
        <v>2100000</v>
      </c>
    </row>
    <row r="170" customFormat="false" ht="15" hidden="false" customHeight="false" outlineLevel="0" collapsed="false">
      <c r="A170" s="2" t="n">
        <v>46051</v>
      </c>
      <c r="B170" s="3" t="s">
        <v>11</v>
      </c>
      <c r="C170" s="3" t="s">
        <v>8</v>
      </c>
      <c r="D170" s="3" t="s">
        <v>15</v>
      </c>
      <c r="E170" s="4" t="n">
        <v>34</v>
      </c>
      <c r="F170" s="4" t="n">
        <v>50000</v>
      </c>
      <c r="G170" s="4" t="n">
        <f aca="false">E170*F170</f>
        <v>1700000</v>
      </c>
    </row>
    <row r="171" customFormat="false" ht="15" hidden="false" customHeight="false" outlineLevel="0" collapsed="false">
      <c r="A171" s="2" t="n">
        <v>46051</v>
      </c>
      <c r="B171" s="3" t="s">
        <v>14</v>
      </c>
      <c r="C171" s="3" t="s">
        <v>8</v>
      </c>
      <c r="D171" s="3" t="s">
        <v>15</v>
      </c>
      <c r="E171" s="4" t="n">
        <v>15</v>
      </c>
      <c r="F171" s="4" t="n">
        <v>50000</v>
      </c>
      <c r="G171" s="4" t="n">
        <f aca="false">E171*F171</f>
        <v>750000</v>
      </c>
    </row>
    <row r="172" customFormat="false" ht="15" hidden="false" customHeight="false" outlineLevel="0" collapsed="false">
      <c r="A172" s="2" t="n">
        <v>46051</v>
      </c>
      <c r="B172" s="3" t="s">
        <v>14</v>
      </c>
      <c r="C172" s="3" t="s">
        <v>17</v>
      </c>
      <c r="D172" s="3" t="s">
        <v>12</v>
      </c>
      <c r="E172" s="4" t="n">
        <v>4</v>
      </c>
      <c r="F172" s="4" t="n">
        <v>300000</v>
      </c>
      <c r="G172" s="4" t="n">
        <f aca="false">E172*F172</f>
        <v>1200000</v>
      </c>
    </row>
    <row r="173" customFormat="false" ht="15" hidden="false" customHeight="false" outlineLevel="0" collapsed="false">
      <c r="A173" s="2" t="n">
        <v>46052</v>
      </c>
      <c r="B173" s="3" t="s">
        <v>7</v>
      </c>
      <c r="C173" s="3" t="s">
        <v>8</v>
      </c>
      <c r="D173" s="3" t="s">
        <v>9</v>
      </c>
      <c r="E173" s="4" t="n">
        <v>36</v>
      </c>
      <c r="F173" s="4" t="n">
        <v>50000</v>
      </c>
      <c r="G173" s="4" t="n">
        <f aca="false">E173*F173</f>
        <v>1800000</v>
      </c>
    </row>
    <row r="174" customFormat="false" ht="15" hidden="false" customHeight="false" outlineLevel="0" collapsed="false">
      <c r="A174" s="2" t="n">
        <v>46052</v>
      </c>
      <c r="B174" s="3" t="s">
        <v>7</v>
      </c>
      <c r="C174" s="3" t="s">
        <v>13</v>
      </c>
      <c r="D174" s="3" t="s">
        <v>12</v>
      </c>
      <c r="E174" s="4" t="n">
        <v>11</v>
      </c>
      <c r="F174" s="4" t="n">
        <v>150000</v>
      </c>
      <c r="G174" s="4" t="n">
        <f aca="false">E174*F174</f>
        <v>1650000</v>
      </c>
    </row>
    <row r="175" customFormat="false" ht="15" hidden="false" customHeight="false" outlineLevel="0" collapsed="false">
      <c r="A175" s="2" t="n">
        <v>46052</v>
      </c>
      <c r="B175" s="3" t="s">
        <v>10</v>
      </c>
      <c r="C175" s="3" t="s">
        <v>8</v>
      </c>
      <c r="D175" s="3" t="s">
        <v>15</v>
      </c>
      <c r="E175" s="4" t="n">
        <v>28</v>
      </c>
      <c r="F175" s="4" t="n">
        <v>50000</v>
      </c>
      <c r="G175" s="4" t="n">
        <f aca="false">E175*F175</f>
        <v>1400000</v>
      </c>
    </row>
    <row r="176" customFormat="false" ht="15" hidden="false" customHeight="false" outlineLevel="0" collapsed="false">
      <c r="A176" s="2" t="n">
        <v>46052</v>
      </c>
      <c r="B176" s="3" t="s">
        <v>10</v>
      </c>
      <c r="C176" s="3" t="s">
        <v>8</v>
      </c>
      <c r="D176" s="3" t="s">
        <v>12</v>
      </c>
      <c r="E176" s="4" t="n">
        <v>17</v>
      </c>
      <c r="F176" s="4" t="n">
        <v>50000</v>
      </c>
      <c r="G176" s="4" t="n">
        <f aca="false">E176*F176</f>
        <v>850000</v>
      </c>
    </row>
    <row r="177" customFormat="false" ht="15" hidden="false" customHeight="false" outlineLevel="0" collapsed="false">
      <c r="A177" s="2" t="n">
        <v>46052</v>
      </c>
      <c r="B177" s="3" t="s">
        <v>10</v>
      </c>
      <c r="C177" s="3" t="s">
        <v>17</v>
      </c>
      <c r="D177" s="3" t="s">
        <v>12</v>
      </c>
      <c r="E177" s="4" t="n">
        <v>3</v>
      </c>
      <c r="F177" s="4" t="n">
        <v>300000</v>
      </c>
      <c r="G177" s="4" t="n">
        <f aca="false">E177*F177</f>
        <v>900000</v>
      </c>
    </row>
    <row r="178" customFormat="false" ht="15" hidden="false" customHeight="false" outlineLevel="0" collapsed="false">
      <c r="A178" s="2" t="n">
        <v>46052</v>
      </c>
      <c r="B178" s="3" t="s">
        <v>11</v>
      </c>
      <c r="C178" s="3" t="s">
        <v>8</v>
      </c>
      <c r="D178" s="3" t="s">
        <v>9</v>
      </c>
      <c r="E178" s="4" t="n">
        <v>40</v>
      </c>
      <c r="F178" s="4" t="n">
        <v>50000</v>
      </c>
      <c r="G178" s="4" t="n">
        <f aca="false">E178*F178</f>
        <v>2000000</v>
      </c>
    </row>
    <row r="179" customFormat="false" ht="15" hidden="false" customHeight="false" outlineLevel="0" collapsed="false">
      <c r="A179" s="2" t="n">
        <v>46052</v>
      </c>
      <c r="B179" s="3" t="s">
        <v>14</v>
      </c>
      <c r="C179" s="3" t="s">
        <v>17</v>
      </c>
      <c r="D179" s="3" t="s">
        <v>9</v>
      </c>
      <c r="E179" s="4" t="n">
        <v>4</v>
      </c>
      <c r="F179" s="4" t="n">
        <v>300000</v>
      </c>
      <c r="G179" s="4" t="n">
        <f aca="false">E179*F179</f>
        <v>1200000</v>
      </c>
    </row>
    <row r="180" customFormat="false" ht="15" hidden="false" customHeight="false" outlineLevel="0" collapsed="false">
      <c r="A180" s="5" t="s">
        <v>18</v>
      </c>
      <c r="B180" s="5"/>
      <c r="C180" s="5"/>
      <c r="D180" s="5"/>
      <c r="E180" s="6" t="n">
        <f aca="false">SUM(E2:E179)</f>
        <v>3513</v>
      </c>
      <c r="F180" s="5"/>
      <c r="G180" s="6" t="n">
        <f aca="false">SUM(G2:G179)</f>
        <v>228950000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7" t="s">
        <v>1</v>
      </c>
      <c r="B1" s="7" t="s">
        <v>19</v>
      </c>
      <c r="C1" s="7" t="s">
        <v>20</v>
      </c>
      <c r="D1" s="7" t="s">
        <v>21</v>
      </c>
      <c r="E1" s="7" t="s">
        <v>22</v>
      </c>
    </row>
    <row r="2" customFormat="false" ht="15" hidden="false" customHeight="false" outlineLevel="0" collapsed="false">
      <c r="A2" s="3" t="s">
        <v>11</v>
      </c>
      <c r="B2" s="4" t="n">
        <f aca="false">COUNTIF(일별매출!B2:B179,A2)</f>
        <v>51</v>
      </c>
      <c r="C2" s="4" t="n">
        <f aca="false">SUMIF(일별매출!B2:B179,A2,일별매출!E2:E179)</f>
        <v>951</v>
      </c>
      <c r="D2" s="4" t="n">
        <f aca="false">SUMIF(일별매출!B2:B179,A2,일별매출!G2:G179)</f>
        <v>68100000</v>
      </c>
      <c r="E2" s="8" t="n">
        <f aca="false">D2/SUM($D$2:$D$6)</f>
        <v>0.297444856955667</v>
      </c>
    </row>
    <row r="3" customFormat="false" ht="15" hidden="false" customHeight="false" outlineLevel="0" collapsed="false">
      <c r="A3" s="3" t="s">
        <v>10</v>
      </c>
      <c r="B3" s="4" t="n">
        <f aca="false">COUNTIF(일별매출!B2:B179,A3)</f>
        <v>43</v>
      </c>
      <c r="C3" s="4" t="n">
        <f aca="false">SUMIF(일별매출!B2:B179,A3,일별매출!E2:E179)</f>
        <v>816</v>
      </c>
      <c r="D3" s="4" t="n">
        <f aca="false">SUMIF(일별매출!B2:B179,A3,일별매출!G2:G179)</f>
        <v>52200000</v>
      </c>
      <c r="E3" s="8" t="n">
        <f aca="false">D3/SUM($D$2:$D$6)</f>
        <v>0.227997379340467</v>
      </c>
    </row>
    <row r="4" customFormat="false" ht="15" hidden="false" customHeight="false" outlineLevel="0" collapsed="false">
      <c r="A4" s="3" t="s">
        <v>7</v>
      </c>
      <c r="B4" s="4" t="n">
        <f aca="false">COUNTIF(일별매출!B2:B179,A4)</f>
        <v>31</v>
      </c>
      <c r="C4" s="4" t="n">
        <f aca="false">SUMIF(일별매출!B2:B179,A4,일별매출!E2:E179)</f>
        <v>617</v>
      </c>
      <c r="D4" s="4" t="n">
        <f aca="false">SUMIF(일별매출!B2:B179,A4,일별매출!G2:G179)</f>
        <v>41350000</v>
      </c>
      <c r="E4" s="8" t="n">
        <f aca="false">D4/SUM($D$2:$D$6)</f>
        <v>0.180607119458397</v>
      </c>
    </row>
    <row r="5" customFormat="false" ht="15" hidden="false" customHeight="false" outlineLevel="0" collapsed="false">
      <c r="A5" s="3" t="s">
        <v>14</v>
      </c>
      <c r="B5" s="4" t="n">
        <f aca="false">COUNTIF(일별매출!B2:B179,A5)</f>
        <v>37</v>
      </c>
      <c r="C5" s="4" t="n">
        <f aca="false">SUMIF(일별매출!B2:B179,A5,일별매출!E2:E179)</f>
        <v>770</v>
      </c>
      <c r="D5" s="4" t="n">
        <f aca="false">SUMIF(일별매출!B2:B179,A5,일별매출!G2:G179)</f>
        <v>46850000</v>
      </c>
      <c r="E5" s="8" t="n">
        <f aca="false">D5/SUM($D$2:$D$6)</f>
        <v>0.204629831841013</v>
      </c>
    </row>
    <row r="6" customFormat="false" ht="15" hidden="false" customHeight="false" outlineLevel="0" collapsed="false">
      <c r="A6" s="3" t="s">
        <v>16</v>
      </c>
      <c r="B6" s="4" t="n">
        <f aca="false">COUNTIF(일별매출!B2:B179,A6)</f>
        <v>16</v>
      </c>
      <c r="C6" s="4" t="n">
        <f aca="false">SUMIF(일별매출!B2:B179,A6,일별매출!E2:E179)</f>
        <v>359</v>
      </c>
      <c r="D6" s="4" t="n">
        <f aca="false">SUMIF(일별매출!B2:B179,A6,일별매출!G2:G179)</f>
        <v>20450000</v>
      </c>
      <c r="E6" s="8" t="n">
        <f aca="false">D6/SUM($D$2:$D$6)</f>
        <v>0.0893208124044551</v>
      </c>
    </row>
    <row r="7" customFormat="false" ht="15" hidden="false" customHeight="false" outlineLevel="0" collapsed="false">
      <c r="A7" s="5" t="s">
        <v>23</v>
      </c>
      <c r="B7" s="6" t="n">
        <f aca="false">SUM(B2:B6)</f>
        <v>178</v>
      </c>
      <c r="C7" s="6" t="n">
        <f aca="false">SUM(C2:C6)</f>
        <v>3513</v>
      </c>
      <c r="D7" s="6" t="n">
        <f aca="false">SUM(D2:D6)</f>
        <v>228950000</v>
      </c>
      <c r="E7" s="9" t="n">
        <f aca="false">SUM(E2:E6)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6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7" t="s">
        <v>2</v>
      </c>
      <c r="B1" s="7" t="s">
        <v>19</v>
      </c>
      <c r="C1" s="7" t="s">
        <v>20</v>
      </c>
      <c r="D1" s="7" t="s">
        <v>21</v>
      </c>
      <c r="E1" s="7" t="s">
        <v>22</v>
      </c>
    </row>
    <row r="2" customFormat="false" ht="15" hidden="false" customHeight="false" outlineLevel="0" collapsed="false">
      <c r="A2" s="3" t="s">
        <v>8</v>
      </c>
      <c r="B2" s="4" t="n">
        <f aca="false">COUNTIF(일별매출!C2:C179,A2)</f>
        <v>110</v>
      </c>
      <c r="C2" s="4" t="n">
        <f aca="false">SUMIF(일별매출!C2:C179,A2,일별매출!E2:E179)</f>
        <v>3076</v>
      </c>
      <c r="D2" s="4" t="n">
        <f aca="false">SUMIF(일별매출!C2:C179,A2,일별매출!G2:G179)</f>
        <v>153800000</v>
      </c>
      <c r="E2" s="8" t="n">
        <f aca="false">D2/SUM($D$2:$D$4)</f>
        <v>0.671762393535706</v>
      </c>
    </row>
    <row r="3" customFormat="false" ht="15" hidden="false" customHeight="false" outlineLevel="0" collapsed="false">
      <c r="A3" s="3" t="s">
        <v>13</v>
      </c>
      <c r="B3" s="4" t="n">
        <f aca="false">COUNTIF(일별매출!C2:C179,A3)</f>
        <v>45</v>
      </c>
      <c r="C3" s="4" t="n">
        <f aca="false">SUMIF(일별매출!C2:C179,A3,일별매출!E2:E179)</f>
        <v>373</v>
      </c>
      <c r="D3" s="4" t="n">
        <f aca="false">SUMIF(일별매출!C2:C179,A3,일별매출!G2:G179)</f>
        <v>55950000</v>
      </c>
      <c r="E3" s="8" t="n">
        <f aca="false">D3/SUM($D$2:$D$4)</f>
        <v>0.244376501419524</v>
      </c>
    </row>
    <row r="4" customFormat="false" ht="15" hidden="false" customHeight="false" outlineLevel="0" collapsed="false">
      <c r="A4" s="3" t="s">
        <v>17</v>
      </c>
      <c r="B4" s="4" t="n">
        <f aca="false">COUNTIF(일별매출!C2:C179,A4)</f>
        <v>23</v>
      </c>
      <c r="C4" s="4" t="n">
        <f aca="false">SUMIF(일별매출!C2:C179,A4,일별매출!E2:E179)</f>
        <v>64</v>
      </c>
      <c r="D4" s="4" t="n">
        <f aca="false">SUMIF(일별매출!C2:C179,A4,일별매출!G2:G179)</f>
        <v>19200000</v>
      </c>
      <c r="E4" s="8" t="n">
        <f aca="false">D4/SUM($D$2:$D$4)</f>
        <v>0.0838611050447696</v>
      </c>
    </row>
    <row r="5" customFormat="false" ht="15" hidden="false" customHeight="false" outlineLevel="0" collapsed="false">
      <c r="A5" s="5" t="s">
        <v>23</v>
      </c>
      <c r="B5" s="6" t="n">
        <f aca="false">SUM(B2:B4)</f>
        <v>178</v>
      </c>
      <c r="C5" s="6" t="n">
        <f aca="false">SUM(C2:C4)</f>
        <v>3513</v>
      </c>
      <c r="D5" s="6" t="n">
        <f aca="false">SUM(D2:D4)</f>
        <v>228950000</v>
      </c>
      <c r="E5" s="9" t="n">
        <f aca="false">SUM(E2:E4)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</cols>
  <sheetData>
    <row r="1" customFormat="false" ht="17.9" hidden="false" customHeight="false" outlineLevel="0" collapsed="false">
      <c r="A1" s="10" t="s">
        <v>24</v>
      </c>
      <c r="B1" s="10"/>
    </row>
    <row r="3" customFormat="false" ht="15" hidden="false" customHeight="false" outlineLevel="0" collapsed="false">
      <c r="A3" s="11" t="s">
        <v>25</v>
      </c>
      <c r="B3" s="4" t="n">
        <f aca="false">SUM(일별매출!G2:G179)</f>
        <v>228950000</v>
      </c>
    </row>
    <row r="4" customFormat="false" ht="15" hidden="false" customHeight="false" outlineLevel="0" collapsed="false">
      <c r="A4" s="11" t="s">
        <v>26</v>
      </c>
      <c r="B4" s="4" t="n">
        <f aca="false">SUM(일별매출!E2:E179)</f>
        <v>3513</v>
      </c>
    </row>
    <row r="5" customFormat="false" ht="15" hidden="false" customHeight="false" outlineLevel="0" collapsed="false">
      <c r="A5" s="11" t="s">
        <v>19</v>
      </c>
      <c r="B5" s="4" t="n">
        <f aca="false">COUNTA(일별매출!A2:A179)</f>
        <v>178</v>
      </c>
    </row>
    <row r="6" customFormat="false" ht="15" hidden="false" customHeight="false" outlineLevel="0" collapsed="false">
      <c r="A6" s="11" t="s">
        <v>27</v>
      </c>
      <c r="B6" s="4" t="n">
        <f aca="false">B3/B5</f>
        <v>1286235.95505618</v>
      </c>
    </row>
    <row r="7" customFormat="false" ht="15" hidden="false" customHeight="false" outlineLevel="0" collapsed="false">
      <c r="A7" s="11" t="s">
        <v>28</v>
      </c>
      <c r="B7" s="4" t="n">
        <f aca="false">B3/SUMPRODUCT(1/COUNTIF(일별매출!A2:A179,일별매출!A2:A179))</f>
        <v>10406818.1818182</v>
      </c>
    </row>
    <row r="8" customFormat="false" ht="15" hidden="false" customHeight="false" outlineLevel="0" collapsed="false">
      <c r="A8" s="11" t="s">
        <v>29</v>
      </c>
      <c r="B8" s="4" t="n">
        <f aca="false">MAX(일별매출!G2:G179)</f>
        <v>2300000</v>
      </c>
    </row>
    <row r="9" customFormat="false" ht="15" hidden="false" customHeight="false" outlineLevel="0" collapsed="false">
      <c r="A9" s="11" t="s">
        <v>30</v>
      </c>
      <c r="B9" s="4" t="n">
        <f aca="false">MIN(일별매출!G2:G179)</f>
        <v>300000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2026-05-04T22:52:34Z</dcterms:created>
  <dc:creator>openpyxl</dc:creator>
  <dc:description/>
  <dc:language>en-US</dc:language>
  <cp:lastModifiedBy/>
  <dcterms:modified xsi:type="dcterms:W3CDTF">2026-05-04T22:52:34Z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